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PCR原始记录" sheetId="1" state="visible" r:id="rId1"/>
    <sheet xmlns:r="http://schemas.openxmlformats.org/officeDocument/2006/relationships" name="材料身份" sheetId="2" state="visible" r:id="rId2"/>
  </sheets>
  <definedNames>
    <definedName name="_xlnm.Print_Titles" localSheetId="0">'qPCR原始记录'!$1:$1</definedName>
    <definedName name="_xlnm.Print_Area" localSheetId="0">'qPCR原始记录'!$A$1:$J$13</definedName>
    <definedName name="_xlnm.Print_Titles" localSheetId="1">'材料身份'!$1:$1</definedName>
    <definedName name="_xlnm.Print_Area" localSheetId="1">'材料身份'!$A$1:$B$9</definedName>
  </definedNames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rlito"/>
      <sz val="11"/>
    </font>
    <font>
      <name val="Microsoft YaHei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83B56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5" t="inlineStr">
        <is>
          <t>样本ID</t>
        </is>
      </c>
      <c r="B1" s="5" t="inlineStr">
        <is>
          <t>实验处理（合成）</t>
        </is>
      </c>
      <c r="C1" s="5" t="inlineStr">
        <is>
          <t>时间h</t>
        </is>
      </c>
      <c r="D1" s="5" t="inlineStr">
        <is>
          <t>重复编号</t>
        </is>
      </c>
      <c r="E1" s="5" t="inlineStr">
        <is>
          <t>HBG目标Ct</t>
        </is>
      </c>
      <c r="F1" s="5" t="inlineStr">
        <is>
          <t>参考Ct</t>
        </is>
      </c>
      <c r="G1" s="5" t="inlineStr">
        <is>
          <t>Ct上限</t>
        </is>
      </c>
      <c r="H1" s="5" t="inlineStr">
        <is>
          <t>ΔCt</t>
        </is>
      </c>
      <c r="I1" s="5" t="inlineStr">
        <is>
          <t>相对表达2^-ΔCt</t>
        </is>
      </c>
      <c r="J1" s="5" t="inlineStr">
        <is>
          <t>原图号</t>
        </is>
      </c>
    </row>
    <row r="2" ht="24" customHeight="1">
      <c r="A2" s="2" t="inlineStr">
        <is>
          <t>SYN-LIGHT-001</t>
        </is>
      </c>
      <c r="B2" s="2" t="inlineStr">
        <is>
          <t>暗条件（实验设定）</t>
        </is>
      </c>
      <c r="C2" s="2" t="n">
        <v>24</v>
      </c>
      <c r="D2" s="2" t="n">
        <v>1</v>
      </c>
      <c r="E2" s="9" t="n">
        <v>34.71</v>
      </c>
      <c r="F2" s="9" t="n">
        <v>20.95</v>
      </c>
      <c r="G2" s="9" t="n">
        <v>35</v>
      </c>
      <c r="H2" s="9">
        <f>E2-F2</f>
        <v/>
      </c>
      <c r="I2" s="10">
        <f>2^(-H2)</f>
        <v/>
      </c>
      <c r="J2" s="2" t="inlineStr">
        <is>
          <t>未知</t>
        </is>
      </c>
    </row>
    <row r="3" ht="24" customHeight="1">
      <c r="A3" s="2" t="inlineStr">
        <is>
          <t>SYN-LIGHT-002</t>
        </is>
      </c>
      <c r="B3" s="2" t="inlineStr">
        <is>
          <t>暗条件（实验设定）</t>
        </is>
      </c>
      <c r="C3" s="2" t="n">
        <v>24</v>
      </c>
      <c r="D3" s="2" t="n">
        <v>2</v>
      </c>
      <c r="E3" s="9" t="n">
        <v>34.83</v>
      </c>
      <c r="F3" s="9" t="n">
        <v>21</v>
      </c>
      <c r="G3" s="9" t="n">
        <v>35</v>
      </c>
      <c r="H3" s="9">
        <f>E3-F3</f>
        <v/>
      </c>
      <c r="I3" s="10">
        <f>2^(-H3)</f>
        <v/>
      </c>
      <c r="J3" s="2" t="inlineStr">
        <is>
          <t>未知</t>
        </is>
      </c>
    </row>
    <row r="4" ht="24" customHeight="1">
      <c r="A4" s="2" t="inlineStr">
        <is>
          <t>SYN-LIGHT-003</t>
        </is>
      </c>
      <c r="B4" s="2" t="inlineStr">
        <is>
          <t>暗条件（实验设定）</t>
        </is>
      </c>
      <c r="C4" s="2" t="n">
        <v>24</v>
      </c>
      <c r="D4" s="2" t="n">
        <v>3</v>
      </c>
      <c r="E4" s="9" t="n">
        <v>34.95</v>
      </c>
      <c r="F4" s="9" t="n">
        <v>21.05</v>
      </c>
      <c r="G4" s="9" t="n">
        <v>35</v>
      </c>
      <c r="H4" s="9">
        <f>E4-F4</f>
        <v/>
      </c>
      <c r="I4" s="10">
        <f>2^(-H4)</f>
        <v/>
      </c>
      <c r="J4" s="2" t="inlineStr">
        <is>
          <t>未知</t>
        </is>
      </c>
    </row>
    <row r="5" ht="24" customHeight="1">
      <c r="A5" s="2" t="inlineStr">
        <is>
          <t>SYN-LIGHT-004</t>
        </is>
      </c>
      <c r="B5" s="2" t="inlineStr">
        <is>
          <t>暗条件（实验设定）</t>
        </is>
      </c>
      <c r="C5" s="2" t="n">
        <v>48</v>
      </c>
      <c r="D5" s="2" t="n">
        <v>1</v>
      </c>
      <c r="E5" s="9" t="n">
        <v>34.43</v>
      </c>
      <c r="F5" s="9" t="n">
        <v>20.95</v>
      </c>
      <c r="G5" s="9" t="n">
        <v>35</v>
      </c>
      <c r="H5" s="9">
        <f>E5-F5</f>
        <v/>
      </c>
      <c r="I5" s="10">
        <f>2^(-H5)</f>
        <v/>
      </c>
      <c r="J5" s="2" t="inlineStr">
        <is>
          <t>未知</t>
        </is>
      </c>
    </row>
    <row r="6" ht="24" customHeight="1">
      <c r="A6" s="2" t="inlineStr">
        <is>
          <t>SYN-LIGHT-005</t>
        </is>
      </c>
      <c r="B6" s="2" t="inlineStr">
        <is>
          <t>暗条件（实验设定）</t>
        </is>
      </c>
      <c r="C6" s="2" t="n">
        <v>48</v>
      </c>
      <c r="D6" s="2" t="n">
        <v>2</v>
      </c>
      <c r="E6" s="9" t="n">
        <v>34.55</v>
      </c>
      <c r="F6" s="9" t="n">
        <v>21</v>
      </c>
      <c r="G6" s="9" t="n">
        <v>35</v>
      </c>
      <c r="H6" s="9">
        <f>E6-F6</f>
        <v/>
      </c>
      <c r="I6" s="10">
        <f>2^(-H6)</f>
        <v/>
      </c>
      <c r="J6" s="2" t="inlineStr">
        <is>
          <t>未知</t>
        </is>
      </c>
    </row>
    <row r="7" ht="24" customHeight="1">
      <c r="A7" s="2" t="inlineStr">
        <is>
          <t>SYN-LIGHT-006</t>
        </is>
      </c>
      <c r="B7" s="2" t="inlineStr">
        <is>
          <t>暗条件（实验设定）</t>
        </is>
      </c>
      <c r="C7" s="2" t="n">
        <v>48</v>
      </c>
      <c r="D7" s="2" t="n">
        <v>3</v>
      </c>
      <c r="E7" s="9" t="n">
        <v>34.67</v>
      </c>
      <c r="F7" s="9" t="n">
        <v>21.05</v>
      </c>
      <c r="G7" s="9" t="n">
        <v>35</v>
      </c>
      <c r="H7" s="9">
        <f>E7-F7</f>
        <v/>
      </c>
      <c r="I7" s="10">
        <f>2^(-H7)</f>
        <v/>
      </c>
      <c r="J7" s="2" t="inlineStr">
        <is>
          <t>未知</t>
        </is>
      </c>
    </row>
    <row r="8" ht="24" customHeight="1">
      <c r="A8" s="2" t="inlineStr">
        <is>
          <t>SYN-LIGHT-007</t>
        </is>
      </c>
      <c r="B8" s="2" t="inlineStr">
        <is>
          <t>红光（实验设定）</t>
        </is>
      </c>
      <c r="C8" s="2" t="n">
        <v>24</v>
      </c>
      <c r="D8" s="2" t="n">
        <v>1</v>
      </c>
      <c r="E8" s="9" t="n">
        <v>33.91</v>
      </c>
      <c r="F8" s="9" t="n">
        <v>20.95</v>
      </c>
      <c r="G8" s="9" t="n">
        <v>35</v>
      </c>
      <c r="H8" s="9">
        <f>E8-F8</f>
        <v/>
      </c>
      <c r="I8" s="10">
        <f>2^(-H8)</f>
        <v/>
      </c>
      <c r="J8" s="2" t="inlineStr">
        <is>
          <t>未知</t>
        </is>
      </c>
    </row>
    <row r="9" ht="24" customHeight="1">
      <c r="A9" s="2" t="inlineStr">
        <is>
          <t>SYN-LIGHT-008</t>
        </is>
      </c>
      <c r="B9" s="2" t="inlineStr">
        <is>
          <t>红光（实验设定）</t>
        </is>
      </c>
      <c r="C9" s="2" t="n">
        <v>24</v>
      </c>
      <c r="D9" s="2" t="n">
        <v>2</v>
      </c>
      <c r="E9" s="9" t="n">
        <v>34.03</v>
      </c>
      <c r="F9" s="9" t="n">
        <v>21</v>
      </c>
      <c r="G9" s="9" t="n">
        <v>35</v>
      </c>
      <c r="H9" s="9">
        <f>E9-F9</f>
        <v/>
      </c>
      <c r="I9" s="10">
        <f>2^(-H9)</f>
        <v/>
      </c>
      <c r="J9" s="2" t="inlineStr">
        <is>
          <t>未知</t>
        </is>
      </c>
    </row>
    <row r="10" ht="24" customHeight="1">
      <c r="A10" s="2" t="inlineStr">
        <is>
          <t>SYN-LIGHT-009</t>
        </is>
      </c>
      <c r="B10" s="2" t="inlineStr">
        <is>
          <t>红光（实验设定）</t>
        </is>
      </c>
      <c r="C10" s="2" t="n">
        <v>24</v>
      </c>
      <c r="D10" s="2" t="n">
        <v>3</v>
      </c>
      <c r="E10" s="9" t="n">
        <v>34.15</v>
      </c>
      <c r="F10" s="9" t="n">
        <v>21.05</v>
      </c>
      <c r="G10" s="9" t="n">
        <v>35</v>
      </c>
      <c r="H10" s="9">
        <f>E10-F10</f>
        <v/>
      </c>
      <c r="I10" s="10">
        <f>2^(-H10)</f>
        <v/>
      </c>
      <c r="J10" s="2" t="inlineStr">
        <is>
          <t>未知</t>
        </is>
      </c>
    </row>
    <row r="11" ht="24" customHeight="1">
      <c r="A11" s="2" t="inlineStr">
        <is>
          <t>SYN-LIGHT-010</t>
        </is>
      </c>
      <c r="B11" s="2" t="inlineStr">
        <is>
          <t>红光（实验设定）</t>
        </is>
      </c>
      <c r="C11" s="2" t="n">
        <v>48</v>
      </c>
      <c r="D11" s="2" t="n">
        <v>1</v>
      </c>
      <c r="E11" s="9" t="n">
        <v>33.63</v>
      </c>
      <c r="F11" s="9" t="n">
        <v>20.95</v>
      </c>
      <c r="G11" s="9" t="n">
        <v>35</v>
      </c>
      <c r="H11" s="9">
        <f>E11-F11</f>
        <v/>
      </c>
      <c r="I11" s="10">
        <f>2^(-H11)</f>
        <v/>
      </c>
      <c r="J11" s="2" t="inlineStr">
        <is>
          <t>未知</t>
        </is>
      </c>
    </row>
    <row r="12" ht="24" customHeight="1">
      <c r="A12" s="2" t="inlineStr">
        <is>
          <t>SYN-LIGHT-011</t>
        </is>
      </c>
      <c r="B12" s="2" t="inlineStr">
        <is>
          <t>红光（实验设定）</t>
        </is>
      </c>
      <c r="C12" s="2" t="n">
        <v>48</v>
      </c>
      <c r="D12" s="2" t="n">
        <v>2</v>
      </c>
      <c r="E12" s="9" t="n">
        <v>33.75</v>
      </c>
      <c r="F12" s="9" t="n">
        <v>21</v>
      </c>
      <c r="G12" s="9" t="n">
        <v>35</v>
      </c>
      <c r="H12" s="9">
        <f>E12-F12</f>
        <v/>
      </c>
      <c r="I12" s="10">
        <f>2^(-H12)</f>
        <v/>
      </c>
      <c r="J12" s="2" t="inlineStr">
        <is>
          <t>未知</t>
        </is>
      </c>
    </row>
    <row r="13" ht="24" customHeight="1">
      <c r="A13" s="2" t="inlineStr">
        <is>
          <t>SYN-LIGHT-012</t>
        </is>
      </c>
      <c r="B13" s="2" t="inlineStr">
        <is>
          <t>红光（实验设定）</t>
        </is>
      </c>
      <c r="C13" s="2" t="n">
        <v>48</v>
      </c>
      <c r="D13" s="2" t="n">
        <v>3</v>
      </c>
      <c r="E13" s="9" t="n">
        <v>33.87</v>
      </c>
      <c r="F13" s="9" t="n">
        <v>21.05</v>
      </c>
      <c r="G13" s="9" t="n">
        <v>35</v>
      </c>
      <c r="H13" s="9">
        <f>E13-F13</f>
        <v/>
      </c>
      <c r="I13" s="10">
        <f>2^(-H13)</f>
        <v/>
      </c>
      <c r="J13" s="2" t="inlineStr">
        <is>
          <t>未知</t>
        </is>
      </c>
    </row>
  </sheetData>
  <pageMargins left="0.25" right="0.25" top="0.35" bottom="0.3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3" customWidth="1" min="2" max="2"/>
  </cols>
  <sheetData>
    <row r="1" ht="36" customHeight="1">
      <c r="A1" s="5" t="inlineStr">
        <is>
          <t>项目</t>
        </is>
      </c>
      <c r="B1" s="5" t="inlineStr">
        <is>
          <t>说明</t>
        </is>
      </c>
    </row>
    <row r="2" ht="45" customHeight="1">
      <c r="A2" s="2" t="inlineStr">
        <is>
          <t>身份</t>
        </is>
      </c>
      <c r="B2" s="8" t="inlineStr">
        <is>
          <t>实验合成操作素材，非原论文测量；不是对重复、倍数关系、35上限因果或论文结论的认证。</t>
        </is>
      </c>
    </row>
    <row r="3" ht="45" customHeight="1">
      <c r="A3" s="2" t="inlineStr">
        <is>
          <t>原文件名日期</t>
        </is>
      </c>
      <c r="B3" s="8" t="inlineStr">
        <is>
          <t>仅保留20221110/20221130文件名；未认证真实实验日期</t>
        </is>
      </c>
    </row>
    <row r="4" ht="45" customHeight="1">
      <c r="A4" s="2" t="inlineStr">
        <is>
          <t>处理与浓度</t>
        </is>
      </c>
      <c r="B4" s="8" t="inlineStr">
        <is>
          <t>处理名称来自上传文件名；原浓度、细胞、参考基因身份未知，浓度不填造</t>
        </is>
      </c>
    </row>
    <row r="5" ht="45" customHeight="1">
      <c r="A5" s="2" t="inlineStr">
        <is>
          <t>单位</t>
        </is>
      </c>
      <c r="B5" s="8" t="inlineStr">
        <is>
          <t>时间为小时h；Ct为循环数；相对表达为无量纲</t>
        </is>
      </c>
    </row>
    <row r="6" ht="45" customHeight="1">
      <c r="A6" s="2" t="inlineStr">
        <is>
          <t>观察单位</t>
        </is>
      </c>
      <c r="B6" s="8" t="inlineStr">
        <is>
          <t>各处理×时间×三次实验重复；三次重复仅为实验设定</t>
        </is>
      </c>
    </row>
    <row r="7" ht="45" customHeight="1">
      <c r="A7" s="2" t="inlineStr">
        <is>
          <t>原论文图号</t>
        </is>
      </c>
      <c r="B7" s="8" t="inlineStr">
        <is>
          <t>所有原图号未知；不能用模拟记录填补原4d/5k证据</t>
        </is>
      </c>
    </row>
    <row r="8" ht="45" customHeight="1">
      <c r="A8" s="2" t="inlineStr">
        <is>
          <t>数值来源</t>
        </is>
      </c>
      <c r="B8" s="8" t="inlineStr">
        <is>
          <t>固定规则合成数值，不是原作者测量</t>
        </is>
      </c>
    </row>
    <row r="9" ht="45" customHeight="1">
      <c r="A9" s="2" t="inlineStr">
        <is>
          <t>阈值</t>
        </is>
      </c>
      <c r="B9" s="8" t="inlineStr">
        <is>
          <t>35仅来自首轮用户表述，模拟设定不证明原异常原因</t>
        </is>
      </c>
    </row>
  </sheetData>
  <pageMargins left="0.25" right="0.25" top="0.35" bottom="0.3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2026-10-08T15:06:15Z</dcterms:created>
  <dcterms:modified xmlns:dcterms="http://purl.org/dc/terms/" xmlns:xsi="http://www.w3.org/2001/XMLSchema-instance" xsi:type="dcterms:W3CDTF">2026-10-08T15:06:15Z</dcterms:modified>
</cp:coreProperties>
</file>