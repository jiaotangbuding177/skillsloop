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4d36408c8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参考A" sheetId="1" r:id="Ra169c96fc26b4fc3"/>
    <x:sheet xmlns:r="http://schemas.openxmlformats.org/officeDocument/2006/relationships" name="材料说明" sheetId="2" r:id="R0a726bd4f385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8281dd4934b28" /><Relationship Type="http://schemas.openxmlformats.org/officeDocument/2006/relationships/theme" Target="/xl/theme/theme1.xml" Id="R9fdee214664f43da" /><Relationship Type="http://schemas.openxmlformats.org/officeDocument/2006/relationships/sharedStrings" Target="/xl/sharedStrings.xml" Id="Rbf35bab5065948e3" /><Relationship Type="http://schemas.openxmlformats.org/officeDocument/2006/relationships/worksheet" Target="/xl/worksheets/sheet1.xml" Id="Ra169c96fc26b4fc3" /><Relationship Type="http://schemas.openxmlformats.org/officeDocument/2006/relationships/worksheet" Target="/xl/worksheets/sheet2.xml" Id="R0a726bd4f3854b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6" customHeight="1">
      <x:c r="A1" s="6" t="str">
        <x:v>类别</x:v>
      </x:c>
      <x:c r="B1" s="6" t="str">
        <x:v>项目名称</x:v>
      </x:c>
      <x:c r="C1" s="6" t="str">
        <x:v>单位</x:v>
      </x:c>
      <x:c r="D1" s="6" t="str">
        <x:v>数量</x:v>
      </x:c>
      <x:c r="E1" s="6" t="str">
        <x:v>单价元</x:v>
      </x:c>
      <x:c r="F1" s="6" t="str">
        <x:v>金额元</x:v>
      </x:c>
      <x:c r="G1" s="6" t="str">
        <x:v>备注</x:v>
      </x:c>
    </x:row>
    <x:row r="2" ht="26" customHeight="1">
      <x:c r="A2" s="7" t="str">
        <x:v>装修</x:v>
      </x:c>
      <x:c r="B2" s="7" t="str">
        <x:v>实验室隔断</x:v>
      </x:c>
      <x:c r="C2" s="7" t="str">
        <x:v>平方米</x:v>
      </x:c>
      <x:c r="D2" s="7" t="n">
        <x:v>500</x:v>
      </x:c>
      <x:c r="E2" s="8" t="n">
        <x:v>250</x:v>
      </x:c>
      <x:c r="F2" s="8" t="n">
        <x:f>D2*E2</x:f>
        <x:v>125000</x:v>
      </x:c>
      <x:c r="G2" s="7" t="str">
        <x:v>参考方案A，实验合成报价</x:v>
      </x:c>
    </x:row>
    <x:row r="3" ht="26" customHeight="1">
      <x:c r="A3" s="7" t="str">
        <x:v>装修</x:v>
      </x:c>
      <x:c r="B3" s="7" t="str">
        <x:v>耐腐蚀地面</x:v>
      </x:c>
      <x:c r="C3" s="7" t="str">
        <x:v>平方米</x:v>
      </x:c>
      <x:c r="D3" s="7" t="n">
        <x:v>500</x:v>
      </x:c>
      <x:c r="E3" s="8" t="n">
        <x:v>200</x:v>
      </x:c>
      <x:c r="F3" s="8" t="n">
        <x:f>D3*E3</x:f>
        <x:v>100000</x:v>
      </x:c>
      <x:c r="G3" s="7" t="str">
        <x:v>参考方案A，实验合成报价</x:v>
      </x:c>
    </x:row>
    <x:row r="4" ht="26" customHeight="1">
      <x:c r="A4" s="7" t="str">
        <x:v>装修</x:v>
      </x:c>
      <x:c r="B4" s="7" t="str">
        <x:v>吊顶工程</x:v>
      </x:c>
      <x:c r="C4" s="7" t="str">
        <x:v>平方米</x:v>
      </x:c>
      <x:c r="D4" s="7" t="n">
        <x:v>500</x:v>
      </x:c>
      <x:c r="E4" s="8" t="n">
        <x:v>150</x:v>
      </x:c>
      <x:c r="F4" s="8" t="n">
        <x:f>D4*E4</x:f>
        <x:v>75000</x:v>
      </x:c>
      <x:c r="G4" s="7" t="str">
        <x:v>参考方案A，实验合成报价</x:v>
      </x:c>
    </x:row>
    <x:row r="5" ht="26" customHeight="1">
      <x:c r="A5" s="7" t="str">
        <x:v>装修</x:v>
      </x:c>
      <x:c r="B5" s="7" t="str">
        <x:v>电气及照明</x:v>
      </x:c>
      <x:c r="C5" s="7" t="str">
        <x:v>平方米</x:v>
      </x:c>
      <x:c r="D5" s="7" t="n">
        <x:v>500</x:v>
      </x:c>
      <x:c r="E5" s="8" t="n">
        <x:v>220</x:v>
      </x:c>
      <x:c r="F5" s="8" t="n">
        <x:f>D5*E5</x:f>
        <x:v>110000</x:v>
      </x:c>
      <x:c r="G5" s="7" t="str">
        <x:v>参考方案A，实验合成报价</x:v>
      </x:c>
    </x:row>
    <x:row r="6" ht="26" customHeight="1">
      <x:c r="A6" s="7" t="str">
        <x:v>装修</x:v>
      </x:c>
      <x:c r="B6" s="7" t="str">
        <x:v>给排水工程</x:v>
      </x:c>
      <x:c r="C6" s="7" t="str">
        <x:v>平方米</x:v>
      </x:c>
      <x:c r="D6" s="7" t="n">
        <x:v>500</x:v>
      </x:c>
      <x:c r="E6" s="8" t="n">
        <x:v>160</x:v>
      </x:c>
      <x:c r="F6" s="8" t="n">
        <x:f>D6*E6</x:f>
        <x:v>80000</x:v>
      </x:c>
      <x:c r="G6" s="7" t="str">
        <x:v>参考方案A，实验合成报价</x:v>
      </x:c>
    </x:row>
    <x:row r="7" ht="26" customHeight="1">
      <x:c r="A7" s="7" t="str">
        <x:v>装修</x:v>
      </x:c>
      <x:c r="B7" s="7" t="str">
        <x:v>通风及净化</x:v>
      </x:c>
      <x:c r="C7" s="7" t="str">
        <x:v>平方米</x:v>
      </x:c>
      <x:c r="D7" s="7" t="n">
        <x:v>500</x:v>
      </x:c>
      <x:c r="E7" s="8" t="n">
        <x:v>300</x:v>
      </x:c>
      <x:c r="F7" s="8" t="n">
        <x:f>D7*E7</x:f>
        <x:v>150000</x:v>
      </x:c>
      <x:c r="G7" s="7" t="str">
        <x:v>参考方案A，实验合成报价</x:v>
      </x:c>
    </x:row>
    <x:row r="8" ht="26" customHeight="1">
      <x:c r="A8" s="7" t="str">
        <x:v>设备</x:v>
      </x:c>
      <x:c r="B8" s="7" t="str">
        <x:v>实验台</x:v>
      </x:c>
      <x:c r="C8" s="7" t="str">
        <x:v>套</x:v>
      </x:c>
      <x:c r="D8" s="7" t="n">
        <x:v>8</x:v>
      </x:c>
      <x:c r="E8" s="8" t="n">
        <x:v>6000</x:v>
      </x:c>
      <x:c r="F8" s="8" t="n">
        <x:f>D8*E8</x:f>
        <x:v>48000</x:v>
      </x:c>
      <x:c r="G8" s="7" t="str">
        <x:v>参考方案A，实验合成报价</x:v>
      </x:c>
    </x:row>
    <x:row r="9" ht="26" customHeight="1">
      <x:c r="A9" s="7" t="str">
        <x:v>设备</x:v>
      </x:c>
      <x:c r="B9" s="7" t="str">
        <x:v>通风柜</x:v>
      </x:c>
      <x:c r="C9" s="7" t="str">
        <x:v>套</x:v>
      </x:c>
      <x:c r="D9" s="7" t="n">
        <x:v>2</x:v>
      </x:c>
      <x:c r="E9" s="8" t="n">
        <x:v>15000</x:v>
      </x:c>
      <x:c r="F9" s="8" t="n">
        <x:f>D9*E9</x:f>
        <x:v>30000</x:v>
      </x:c>
      <x:c r="G9" s="7" t="str">
        <x:v>参考方案A，实验合成报价</x:v>
      </x:c>
    </x:row>
    <x:row r="10" ht="26" customHeight="1">
      <x:c r="A10" s="7" t="str">
        <x:v>设备</x:v>
      </x:c>
      <x:c r="B10" s="7" t="str">
        <x:v>基础检测仪</x:v>
      </x:c>
      <x:c r="C10" s="7" t="str">
        <x:v>套</x:v>
      </x:c>
      <x:c r="D10" s="7" t="n">
        <x:v>2</x:v>
      </x:c>
      <x:c r="E10" s="8" t="n">
        <x:v>40000</x:v>
      </x:c>
      <x:c r="F10" s="8" t="n">
        <x:f>D10*E10</x:f>
        <x:v>80000</x:v>
      </x:c>
      <x:c r="G10" s="7" t="str">
        <x:v>参考方案A，实验合成报价</x:v>
      </x:c>
    </x:row>
    <x:row r="11" ht="26" customHeight="1">
      <x:c r="A11" s="7" t="str">
        <x:v>设备</x:v>
      </x:c>
      <x:c r="B11" s="7" t="str">
        <x:v>低温冰箱</x:v>
      </x:c>
      <x:c r="C11" s="7" t="str">
        <x:v>套</x:v>
      </x:c>
      <x:c r="D11" s="7" t="n">
        <x:v>1</x:v>
      </x:c>
      <x:c r="E11" s="8" t="n">
        <x:v>28000</x:v>
      </x:c>
      <x:c r="F11" s="8" t="n">
        <x:f>D11*E11</x:f>
        <x:v>28000</x:v>
      </x:c>
      <x:c r="G11" s="7" t="str">
        <x:v>参考方案A，实验合成报价</x:v>
      </x:c>
    </x:row>
    <x:row r="12" ht="26" customHeight="1">
      <x:c r="A12" s="7" t="str">
        <x:v>设备</x:v>
      </x:c>
      <x:c r="B12" s="7" t="str">
        <x:v>纯水设备</x:v>
      </x:c>
      <x:c r="C12" s="7" t="str">
        <x:v>套</x:v>
      </x:c>
      <x:c r="D12" s="7" t="n">
        <x:v>1</x:v>
      </x:c>
      <x:c r="E12" s="8" t="n">
        <x:v>45000</x:v>
      </x:c>
      <x:c r="F12" s="8" t="n">
        <x:f>D12*E12</x:f>
        <x:v>45000</x:v>
      </x:c>
      <x:c r="G12" s="7" t="str">
        <x:v>参考方案A，实验合成报价</x:v>
      </x:c>
    </x:row>
    <x:row r="13" ht="26" customHeight="1">
      <x:c r="A13" s="7" t="str">
        <x:v>设备</x:v>
      </x:c>
      <x:c r="B13" s="7" t="str">
        <x:v>安全及辅助器材</x:v>
      </x:c>
      <x:c r="C13" s="7" t="str">
        <x:v>套</x:v>
      </x:c>
      <x:c r="D13" s="7" t="n">
        <x:v>2</x:v>
      </x:c>
      <x:c r="E13" s="8" t="n">
        <x:v>12000</x:v>
      </x:c>
      <x:c r="F13" s="8" t="n">
        <x:f>D13*E13</x:f>
        <x:v>24000</x:v>
      </x:c>
      <x:c r="G13" s="7" t="str">
        <x:v>参考方案A，实验合成报价</x:v>
      </x:c>
    </x:row>
    <x:row r="14" ht="26" customHeight="1">
      <x:c r="A14" s="7" t="str">
        <x:v>配套</x:v>
      </x:c>
      <x:c r="B14" s="7" t="str">
        <x:v>设计及勘测</x:v>
      </x:c>
      <x:c r="C14" s="7" t="str">
        <x:v>项</x:v>
      </x:c>
      <x:c r="D14" s="7" t="n">
        <x:v>1</x:v>
      </x:c>
      <x:c r="E14" s="8" t="n">
        <x:v>35000</x:v>
      </x:c>
      <x:c r="F14" s="8" t="n">
        <x:f>D14*E14</x:f>
        <x:v>35000</x:v>
      </x:c>
      <x:c r="G14" s="7" t="str">
        <x:v>实验合成报价</x:v>
      </x:c>
    </x:row>
    <x:row r="15" ht="26" customHeight="1">
      <x:c r="A15" s="7" t="str">
        <x:v>配套</x:v>
      </x:c>
      <x:c r="B15" s="7" t="str">
        <x:v>消防及验收配合</x:v>
      </x:c>
      <x:c r="C15" s="7" t="str">
        <x:v>项</x:v>
      </x:c>
      <x:c r="D15" s="7" t="n">
        <x:v>1</x:v>
      </x:c>
      <x:c r="E15" s="8" t="n">
        <x:v>30000</x:v>
      </x:c>
      <x:c r="F15" s="8" t="n">
        <x:f>D15*E15</x:f>
        <x:v>30000</x:v>
      </x:c>
      <x:c r="G15" s="7" t="str">
        <x:v>实验合成报价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</x:cols>
  <x:sheetData>
    <x:row r="1" ht="40" customHeight="1">
      <x:c r="A1" s="2" t="str">
        <x:v>字段</x:v>
      </x:c>
      <x:c r="B1" s="2" t="str">
        <x:v>说明</x:v>
      </x:c>
    </x:row>
    <x:row r="2" ht="40" customHeight="1">
      <x:c r="A2" s="2" t="str">
        <x:v>材料身份</x:v>
      </x:c>
      <x:c r="B2" s="2" t="str">
        <x:v>实验合成输入，非原企业附件</x:v>
      </x:c>
    </x:row>
    <x:row r="3" ht="40" customHeight="1">
      <x:c r="A3" s="2" t="str">
        <x:v>来源边界</x:v>
      </x:c>
      <x:c r="B3" s="2" t="str">
        <x:v>500平方米为用户明确给定；其他项目及金额为实验合成，不认证历史真实数据</x:v>
      </x:c>
    </x:row>
    <x:row r="4" ht="40" customHeight="1">
      <x:c r="A4" s="2" t="str">
        <x:v>使用范围</x:v>
      </x:c>
      <x:c r="B4" s="2" t="str">
        <x:v>本会话输入文件恢复，尚未生成用户要求的最终对比或预算答案</x:v>
      </x:c>
    </x:row>
  </x:sheetData>
  <x:pageMargins left="0.7" right="0.7" top="0.75" bottom="0.75" header="0.3" footer="0.3"/>
</x:worksheet>
</file>