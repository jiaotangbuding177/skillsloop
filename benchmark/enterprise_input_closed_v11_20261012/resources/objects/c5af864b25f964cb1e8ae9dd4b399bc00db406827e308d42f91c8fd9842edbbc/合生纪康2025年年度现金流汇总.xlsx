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91a1c969b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年度现金流汇总" sheetId="1" r:id="Rbd9a00a367ef427e"/>
    <x:sheet xmlns:r="http://schemas.openxmlformats.org/officeDocument/2006/relationships" name="银行日记账" sheetId="2" r:id="R22f0b5c27b114bfc"/>
    <x:sheet xmlns:r="http://schemas.openxmlformats.org/officeDocument/2006/relationships" name="材料说明" sheetId="3" r:id="R8aefc59f12d345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55563fefe4162" /><Relationship Type="http://schemas.openxmlformats.org/officeDocument/2006/relationships/theme" Target="/xl/theme/theme1.xml" Id="R4afa44b038a54f8c" /><Relationship Type="http://schemas.openxmlformats.org/officeDocument/2006/relationships/sharedStrings" Target="/xl/sharedStrings.xml" Id="R82c452120f7246ad" /><Relationship Type="http://schemas.openxmlformats.org/officeDocument/2006/relationships/worksheet" Target="/xl/worksheets/sheet1.xml" Id="Rbd9a00a367ef427e" /><Relationship Type="http://schemas.openxmlformats.org/officeDocument/2006/relationships/worksheet" Target="/xl/worksheets/sheet2.xml" Id="R22f0b5c27b114bfc" /><Relationship Type="http://schemas.openxmlformats.org/officeDocument/2006/relationships/worksheet" Target="/xl/worksheets/sheet3.xml" Id="R8aefc59f12d345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0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现金流类别</x:v>
      </x:c>
      <x:c r="B1" s="4" t="str">
        <x:v>项目名称</x:v>
      </x:c>
      <x:c r="C1" s="4" t="str">
        <x:v>金额（元）</x:v>
      </x:c>
      <x:c r="D1" s="4" t="str">
        <x:v>开始日期</x:v>
      </x:c>
      <x:c r="E1" s="4" t="str">
        <x:v>结束日期</x:v>
      </x:c>
    </x:row>
    <x:row r="2" ht="25" customHeight="1">
      <x:c r="A2" s="2" t="str">
        <x:v>经营收入</x:v>
      </x:c>
      <x:c r="B2" s="2" t="str">
        <x:v>产品销售</x:v>
      </x:c>
      <x:c r="C2" s="7" t="n">
        <x:f>SUMIFS('银行日记账'!F$2:F$26,'银行日记账'!H$2:H$26,A2,'银行日记账'!I$2:I$26,B2,'银行日记账'!B$2:B$26,"&gt;="&amp;D2,'银行日记账'!B$2:B$26,"&lt;="&amp;E2)</x:f>
        <x:v>210000</x:v>
      </x:c>
      <x:c r="D2" s="5" t="n">
        <x:v>45876</x:v>
      </x:c>
      <x:c r="E2" s="5" t="n">
        <x:v>46012</x:v>
      </x:c>
    </x:row>
    <x:row r="3" ht="25" customHeight="1">
      <x:c r="A3" s="2" t="str">
        <x:v>经营收入</x:v>
      </x:c>
      <x:c r="B3" s="2" t="str">
        <x:v>补贴</x:v>
      </x:c>
      <x:c r="C3" s="7" t="n">
        <x:f>SUMIFS('银行日记账'!F$2:F$26,'银行日记账'!H$2:H$26,A3,'银行日记账'!I$2:I$26,B3,'银行日记账'!B$2:B$26,"&gt;="&amp;D3,'银行日记账'!B$2:B$26,"&lt;="&amp;E3)</x:f>
        <x:v>0</x:v>
      </x:c>
      <x:c r="D3" s="5" t="n">
        <x:v>45876</x:v>
      </x:c>
      <x:c r="E3" s="5" t="n">
        <x:v>46012</x:v>
      </x:c>
    </x:row>
    <x:row r="4" ht="25" customHeight="1">
      <x:c r="A4" s="2" t="str">
        <x:v>经营性流出</x:v>
      </x:c>
      <x:c r="B4" s="2" t="str">
        <x:v>原料采购</x:v>
      </x:c>
      <x:c r="C4" s="7" t="n">
        <x:f>SUMIFS('银行日记账'!G$2:G$26,'银行日记账'!H$2:H$26,A4,'银行日记账'!I$2:I$26,B4,'银行日记账'!B$2:B$26,"&gt;="&amp;D4,'银行日记账'!B$2:B$26,"&lt;="&amp;E4)</x:f>
        <x:v>24000</x:v>
      </x:c>
      <x:c r="D4" s="5" t="n">
        <x:v>45876</x:v>
      </x:c>
      <x:c r="E4" s="5" t="n">
        <x:v>46012</x:v>
      </x:c>
    </x:row>
    <x:row r="5" ht="25" customHeight="1">
      <x:c r="A5" s="2" t="str">
        <x:v>经营性流出</x:v>
      </x:c>
      <x:c r="B5" s="2" t="str">
        <x:v>租赁费</x:v>
      </x:c>
      <x:c r="C5" s="7" t="n">
        <x:f>SUMIFS('银行日记账'!G$2:G$26,'银行日记账'!H$2:H$26,A5,'银行日记账'!I$2:I$26,B5,'银行日记账'!B$2:B$26,"&gt;="&amp;D5,'银行日记账'!B$2:B$26,"&lt;="&amp;E5)</x:f>
        <x:v>12000</x:v>
      </x:c>
      <x:c r="D5" s="5" t="n">
        <x:v>45876</x:v>
      </x:c>
      <x:c r="E5" s="5" t="n">
        <x:v>46012</x:v>
      </x:c>
    </x:row>
    <x:row r="6" ht="25" customHeight="1">
      <x:c r="A6" s="2" t="str">
        <x:v>经营性流出</x:v>
      </x:c>
      <x:c r="B6" s="2" t="str">
        <x:v>服务费</x:v>
      </x:c>
      <x:c r="C6" s="7" t="n">
        <x:f>SUMIFS('银行日记账'!G$2:G$26,'银行日记账'!H$2:H$26,A6,'银行日记账'!I$2:I$26,B6,'银行日记账'!B$2:B$26,"&gt;="&amp;D6,'银行日记账'!B$2:B$26,"&lt;="&amp;E6)</x:f>
        <x:v>58400</x:v>
      </x:c>
      <x:c r="D6" s="5" t="n">
        <x:v>45876</x:v>
      </x:c>
      <x:c r="E6" s="5" t="n">
        <x:v>46012</x:v>
      </x:c>
    </x:row>
    <x:row r="7" ht="25" customHeight="1">
      <x:c r="A7" s="2" t="str">
        <x:v>员工报销</x:v>
      </x:c>
      <x:c r="B7" s="2" t="str">
        <x:v>差旅报销</x:v>
      </x:c>
      <x:c r="C7" s="7" t="n">
        <x:f>SUMIFS('银行日记账'!G$2:G$26,'银行日记账'!H$2:H$26,A7,'银行日记账'!I$2:I$26,B7,'银行日记账'!B$2:B$26,"&gt;="&amp;D7,'银行日记账'!B$2:B$26,"&lt;="&amp;E7)</x:f>
        <x:v>3500</x:v>
      </x:c>
      <x:c r="D7" s="5" t="n">
        <x:v>45876</x:v>
      </x:c>
      <x:c r="E7" s="5" t="n">
        <x:v>46012</x:v>
      </x:c>
    </x:row>
    <x:row r="8" ht="25" customHeight="1">
      <x:c r="A8" s="2" t="str">
        <x:v>员工报销</x:v>
      </x:c>
      <x:c r="B8" s="2" t="str">
        <x:v>备用金</x:v>
      </x:c>
      <x:c r="C8" s="7" t="n">
        <x:f>SUMIFS('银行日记账'!G$2:G$26,'银行日记账'!H$2:H$26,A8,'银行日记账'!I$2:I$26,B8,'银行日记账'!B$2:B$26,"&gt;="&amp;D8,'银行日记账'!B$2:B$26,"&lt;="&amp;E8)</x:f>
        <x:v>0</x:v>
      </x:c>
      <x:c r="D8" s="5" t="n">
        <x:v>45876</x:v>
      </x:c>
      <x:c r="E8" s="5" t="n">
        <x:v>46012</x:v>
      </x:c>
    </x:row>
    <x:row r="9" ht="25" customHeight="1">
      <x:c r="A9" s="2" t="str">
        <x:v>经营性流出</x:v>
      </x:c>
      <x:c r="B9" s="2" t="str">
        <x:v>设计款</x:v>
      </x:c>
      <x:c r="C9" s="7" t="n">
        <x:f>SUMIFS('银行日记账'!G$2:G$26,'银行日记账'!H$2:H$26,A9,'银行日记账'!I$2:I$26,B9,'银行日记账'!B$2:B$26,"&gt;="&amp;D9,'银行日记账'!B$2:B$26,"&lt;="&amp;E9)</x:f>
        <x:v>0</x:v>
      </x:c>
      <x:c r="D9" s="5" t="n">
        <x:v>45876</x:v>
      </x:c>
      <x:c r="E9" s="5" t="n">
        <x:v>46012</x:v>
      </x:c>
    </x:row>
    <x:row r="10" ht="25" customHeight="1">
      <x:c r="A10" s="2" t="str">
        <x:v>经营性流出</x:v>
      </x:c>
      <x:c r="B10" s="2" t="str">
        <x:v>合生纪康展位费</x:v>
      </x:c>
      <x:c r="C10" s="7" t="n">
        <x:f>SUMIFS('银行日记账'!G$2:G$26,'银行日记账'!H$2:H$26,A10,'银行日记账'!I$2:I$26,B10,'银行日记账'!B$2:B$26,"&gt;="&amp;D10,'银行日记账'!B$2:B$26,"&lt;="&amp;E10)</x:f>
        <x:v>0</x:v>
      </x:c>
      <x:c r="D10" s="5" t="n">
        <x:v>45876</x:v>
      </x:c>
      <x:c r="E10" s="5" t="n">
        <x:v>46012</x:v>
      </x:c>
    </x:row>
    <x:row r="11" ht="25" customHeight="1">
      <x:c r="A11" s="2" t="str">
        <x:v>经营性流出</x:v>
      </x:c>
      <x:c r="B11" s="2" t="str">
        <x:v>降尿酸益生菌-均瑶1吨罐代工生产首付款50%</x:v>
      </x:c>
      <x:c r="C11" s="7" t="n">
        <x:f>SUMIFS('银行日记账'!G$2:G$26,'银行日记账'!H$2:H$26,A11,'银行日记账'!I$2:I$26,B11,'银行日记账'!B$2:B$26,"&gt;="&amp;D11,'银行日记账'!B$2:B$26,"&lt;="&amp;E11)</x:f>
        <x:v>0</x:v>
      </x:c>
      <x:c r="D11" s="5" t="n">
        <x:v>45876</x:v>
      </x:c>
      <x:c r="E11" s="5" t="n">
        <x:v>46012</x:v>
      </x:c>
    </x:row>
    <x:row r="12" ht="25" customHeight="1">
      <x:c r="A12" s="2" t="str">
        <x:v>经营性流出</x:v>
      </x:c>
      <x:c r="B12" s="2" t="str">
        <x:v>降尿酸益生菌-均瑶1吨罐代工生产尾款</x:v>
      </x:c>
      <x:c r="C12" s="7" t="n">
        <x:f>SUMIFS('银行日记账'!G$2:G$26,'银行日记账'!H$2:H$26,A12,'银行日记账'!I$2:I$26,B12,'银行日记账'!B$2:B$26,"&gt;="&amp;D12,'银行日记账'!B$2:B$26,"&lt;="&amp;E12)</x:f>
        <x:v>0</x:v>
      </x:c>
      <x:c r="D12" s="5" t="n">
        <x:v>45876</x:v>
      </x:c>
      <x:c r="E12" s="5" t="n">
        <x:v>46012</x:v>
      </x:c>
    </x:row>
    <x:row r="13" ht="25" customHeight="1">
      <x:c r="A13" s="2" t="str">
        <x:v>经营收入合计</x:v>
      </x:c>
      <x:c r="B13" s="2" t="str"/>
      <x:c r="C13" s="7" t="n">
        <x:f>SUMIF(A2:A12,"经营收入",C2:C12)</x:f>
        <x:v>210000</x:v>
      </x:c>
      <x:c r="D13" s="5"/>
      <x:c r="E13" s="5"/>
    </x:row>
    <x:row r="14" ht="25" customHeight="1">
      <x:c r="A14" s="2" t="str">
        <x:v>支出合计</x:v>
      </x:c>
      <x:c r="B14" s="2" t="str"/>
      <x:c r="C14" s="7" t="n">
        <x:f>SUM(C2:C12)-C13</x:f>
        <x:v>97900</x:v>
      </x:c>
      <x:c r="D14" s="5"/>
      <x:c r="E14" s="5"/>
    </x:row>
    <x:row r="15" ht="25" customHeight="1">
      <x:c r="A15" s="2" t="str">
        <x:v>净现金流</x:v>
      </x:c>
      <x:c r="B15" s="2" t="str"/>
      <x:c r="C15" s="7" t="n">
        <x:f>C13-C14</x:f>
        <x:v>112100</x:v>
      </x:c>
      <x:c r="D15" s="5"/>
      <x:c r="E15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65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62" hidden="0" customWidth="1"/>
    <x:col min="10" max="10" width="58" hidden="0" customWidth="1"/>
  </x:cols>
  <x:sheetData>
    <x:row r="1" ht="42" customHeight="1">
      <x:c r="A1" s="4" t="str">
        <x:v>流水ID</x:v>
      </x:c>
      <x:c r="B1" s="4" t="str">
        <x:v>发生日期</x:v>
      </x:c>
      <x:c r="C1" s="4" t="str">
        <x:v>公司</x:v>
      </x:c>
      <x:c r="D1" s="4" t="str">
        <x:v>摘要</x:v>
      </x:c>
      <x:c r="E1" s="4" t="str">
        <x:v>对方名称</x:v>
      </x:c>
      <x:c r="F1" s="4" t="str">
        <x:v>收入（元）</x:v>
      </x:c>
      <x:c r="G1" s="4" t="str">
        <x:v>支出（元）</x:v>
      </x:c>
      <x:c r="H1" s="4" t="str">
        <x:v>现金流类别</x:v>
      </x:c>
      <x:c r="I1" s="4" t="str">
        <x:v>项目名称</x:v>
      </x:c>
      <x:c r="J1" s="4" t="str">
        <x:v>数据性质</x:v>
      </x:c>
    </x:row>
    <x:row r="2" ht="25" customHeight="1">
      <x:c r="A2" s="2" t="str">
        <x:v>HSJK001</x:v>
      </x:c>
      <x:c r="B2" s="5" t="n">
        <x:v>45875</x:v>
      </x:c>
      <x:c r="C2" s="2" t="str">
        <x:v>合生纪康</x:v>
      </x:c>
      <x:c r="D2" s="2" t="str">
        <x:v>产品销售收款</x:v>
      </x:c>
      <x:c r="E2" s="2" t="str">
        <x:v>实验往来单位</x:v>
      </x:c>
      <x:c r="F2" s="8" t="n">
        <x:v>9000</x:v>
      </x:c>
      <x:c r="G2" s="8" t="n">
        <x:v>0</x:v>
      </x:c>
      <x:c r="H2" s="2" t="str">
        <x:v>经营收入</x:v>
      </x:c>
      <x:c r="I2" s="2" t="str">
        <x:v>产品销售</x:v>
      </x:c>
      <x:c r="J2" s="2" t="str">
        <x:v>实验合成金额和日期；明确摘要要求保持原文</x:v>
      </x:c>
    </x:row>
    <x:row r="3" ht="25" customHeight="1">
      <x:c r="A3" s="2" t="str">
        <x:v>HSJK002</x:v>
      </x:c>
      <x:c r="B3" s="5" t="n">
        <x:v>45876</x:v>
      </x:c>
      <x:c r="C3" s="2" t="str">
        <x:v>合生纪康</x:v>
      </x:c>
      <x:c r="D3" s="2" t="str">
        <x:v>产品销售收款</x:v>
      </x:c>
      <x:c r="E3" s="2" t="str">
        <x:v>实验往来单位</x:v>
      </x:c>
      <x:c r="F3" s="8" t="n">
        <x:v>120000</x:v>
      </x:c>
      <x:c r="G3" s="8" t="n">
        <x:v>0</x:v>
      </x:c>
      <x:c r="H3" s="2" t="str">
        <x:v>经营收入</x:v>
      </x:c>
      <x:c r="I3" s="2" t="str">
        <x:v>产品销售</x:v>
      </x:c>
      <x:c r="J3" s="2" t="str">
        <x:v>实验合成金额和日期；明确摘要要求保持原文</x:v>
      </x:c>
    </x:row>
    <x:row r="4" ht="25" customHeight="1">
      <x:c r="A4" s="2" t="str">
        <x:v>HSJK003</x:v>
      </x:c>
      <x:c r="B4" s="5" t="n">
        <x:v>45889</x:v>
      </x:c>
      <x:c r="C4" s="2" t="str">
        <x:v>合生纪康</x:v>
      </x:c>
      <x:c r="D4" s="2" t="str">
        <x:v>采购原料</x:v>
      </x:c>
      <x:c r="E4" s="2" t="str">
        <x:v>实验往来单位</x:v>
      </x:c>
      <x:c r="F4" s="8" t="n">
        <x:v>0</x:v>
      </x:c>
      <x:c r="G4" s="8" t="n">
        <x:v>24000</x:v>
      </x:c>
      <x:c r="H4" s="2" t="str">
        <x:v>经营性流出</x:v>
      </x:c>
      <x:c r="I4" s="2" t="str">
        <x:v>原料采购</x:v>
      </x:c>
      <x:c r="J4" s="2" t="str">
        <x:v>实验合成金额和日期；明确摘要要求保持原文</x:v>
      </x:c>
    </x:row>
    <x:row r="5" ht="25" customHeight="1">
      <x:c r="A5" s="2" t="str">
        <x:v>HSJK004</x:v>
      </x:c>
      <x:c r="B5" s="5" t="n">
        <x:v>45915</x:v>
      </x:c>
      <x:c r="C5" s="2" t="str">
        <x:v>合生纪康</x:v>
      </x:c>
      <x:c r="D5" s="2" t="str">
        <x:v>员工差旅报销</x:v>
      </x:c>
      <x:c r="E5" s="2" t="str">
        <x:v>实验往来单位</x:v>
      </x:c>
      <x:c r="F5" s="8" t="n">
        <x:v>0</x:v>
      </x:c>
      <x:c r="G5" s="8" t="n">
        <x:v>3500</x:v>
      </x:c>
      <x:c r="H5" s="2" t="str">
        <x:v>员工报销</x:v>
      </x:c>
      <x:c r="I5" s="2" t="str">
        <x:v>差旅报销</x:v>
      </x:c>
      <x:c r="J5" s="2" t="str">
        <x:v>实验合成金额和日期；明确摘要要求保持原文</x:v>
      </x:c>
    </x:row>
    <x:row r="6" ht="25" customHeight="1">
      <x:c r="A6" s="2" t="str">
        <x:v>HSJK005</x:v>
      </x:c>
      <x:c r="B6" s="5" t="n">
        <x:v>45945</x:v>
      </x:c>
      <x:c r="C6" s="2" t="str">
        <x:v>合生纪康</x:v>
      </x:c>
      <x:c r="D6" s="2" t="str">
        <x:v>产品销售收款</x:v>
      </x:c>
      <x:c r="E6" s="2" t="str">
        <x:v>实验往来单位</x:v>
      </x:c>
      <x:c r="F6" s="8" t="n">
        <x:v>60000</x:v>
      </x:c>
      <x:c r="G6" s="8" t="n">
        <x:v>0</x:v>
      </x:c>
      <x:c r="H6" s="2" t="str">
        <x:v>经营收入</x:v>
      </x:c>
      <x:c r="I6" s="2" t="str">
        <x:v>产品销售</x:v>
      </x:c>
      <x:c r="J6" s="2" t="str">
        <x:v>实验合成金额和日期；明确摘要要求保持原文</x:v>
      </x:c>
    </x:row>
    <x:row r="7" ht="25" customHeight="1">
      <x:c r="A7" s="2" t="str">
        <x:v>HSJK006</x:v>
      </x:c>
      <x:c r="B7" s="5" t="n">
        <x:v>45971</x:v>
      </x:c>
      <x:c r="C7" s="2" t="str">
        <x:v>合生纪康</x:v>
      </x:c>
      <x:c r="D7" s="2" t="str">
        <x:v>房租</x:v>
      </x:c>
      <x:c r="E7" s="2" t="str">
        <x:v>实验往来单位</x:v>
      </x:c>
      <x:c r="F7" s="8" t="n">
        <x:v>0</x:v>
      </x:c>
      <x:c r="G7" s="8" t="n">
        <x:v>12000</x:v>
      </x:c>
      <x:c r="H7" s="2" t="str">
        <x:v>经营性流出</x:v>
      </x:c>
      <x:c r="I7" s="2" t="str">
        <x:v>租赁费</x:v>
      </x:c>
      <x:c r="J7" s="2" t="str">
        <x:v>实验合成金额和日期；明确摘要要求保持原文</x:v>
      </x:c>
    </x:row>
    <x:row r="8" ht="25" customHeight="1">
      <x:c r="A8" s="2" t="str">
        <x:v>HSJK007</x:v>
      </x:c>
      <x:c r="B8" s="5" t="n">
        <x:v>45979</x:v>
      </x:c>
      <x:c r="C8" s="2" t="str">
        <x:v>合生纪康</x:v>
      </x:c>
      <x:c r="D8" s="2" t="str">
        <x:v>微康益生菌</x:v>
      </x:c>
      <x:c r="E8" s="2" t="str">
        <x:v>实验往来单位</x:v>
      </x:c>
      <x:c r="F8" s="8" t="n">
        <x:v>0</x:v>
      </x:c>
      <x:c r="G8" s="8" t="n">
        <x:v>30000</x:v>
      </x:c>
      <x:c r="H8" s="2" t="str">
        <x:v>经营性流出</x:v>
      </x:c>
      <x:c r="I8" s="2" t="str">
        <x:v>服务费</x:v>
      </x:c>
      <x:c r="J8" s="2" t="str">
        <x:v>明确合成初始记录；本轮无原附件字节认证，不作为早轮直接明示金额</x:v>
      </x:c>
    </x:row>
    <x:row r="9" ht="25" customHeight="1">
      <x:c r="A9" s="2" t="str">
        <x:v>HSJK008</x:v>
      </x:c>
      <x:c r="B9" s="5" t="n">
        <x:v>45979</x:v>
      </x:c>
      <x:c r="C9" s="2" t="str">
        <x:v>合生纪康</x:v>
      </x:c>
      <x:c r="D9" s="2" t="str">
        <x:v>松淼税务咨询</x:v>
      </x:c>
      <x:c r="E9" s="2" t="str">
        <x:v>实验往来单位</x:v>
      </x:c>
      <x:c r="F9" s="8" t="n">
        <x:v>0</x:v>
      </x:c>
      <x:c r="G9" s="8" t="n">
        <x:v>4000</x:v>
      </x:c>
      <x:c r="H9" s="2" t="str">
        <x:v>经营性流出</x:v>
      </x:c>
      <x:c r="I9" s="2" t="str">
        <x:v>服务费</x:v>
      </x:c>
      <x:c r="J9" s="2" t="str">
        <x:v>明确合成初始记录；本轮无原附件字节认证，不作为早轮直接明示金额</x:v>
      </x:c>
    </x:row>
    <x:row r="10" ht="25" customHeight="1">
      <x:c r="A10" s="2" t="str">
        <x:v>HSJK009</x:v>
      </x:c>
      <x:c r="B10" s="5" t="n">
        <x:v>45979</x:v>
      </x:c>
      <x:c r="C10" s="2" t="str">
        <x:v>合生纪康</x:v>
      </x:c>
      <x:c r="D10" s="2" t="str">
        <x:v>青岛知企邦</x:v>
      </x:c>
      <x:c r="E10" s="2" t="str">
        <x:v>实验往来单位</x:v>
      </x:c>
      <x:c r="F10" s="8" t="n">
        <x:v>0</x:v>
      </x:c>
      <x:c r="G10" s="8" t="n">
        <x:v>5000</x:v>
      </x:c>
      <x:c r="H10" s="2" t="str">
        <x:v>经营性流出</x:v>
      </x:c>
      <x:c r="I10" s="2" t="str">
        <x:v>服务费</x:v>
      </x:c>
      <x:c r="J10" s="2" t="str">
        <x:v>明确合成初始记录；本轮无原附件字节认证，不作为早轮直接明示金额</x:v>
      </x:c>
    </x:row>
    <x:row r="11" ht="25" customHeight="1">
      <x:c r="A11" s="2" t="str">
        <x:v>HSJK010</x:v>
      </x:c>
      <x:c r="B11" s="5" t="n">
        <x:v>45979</x:v>
      </x:c>
      <x:c r="C11" s="2" t="str">
        <x:v>合生纪康</x:v>
      </x:c>
      <x:c r="D11" s="2" t="str">
        <x:v>上海墨眉数码</x:v>
      </x:c>
      <x:c r="E11" s="2" t="str">
        <x:v>实验往来单位</x:v>
      </x:c>
      <x:c r="F11" s="8" t="n">
        <x:v>0</x:v>
      </x:c>
      <x:c r="G11" s="8" t="n">
        <x:v>1300</x:v>
      </x:c>
      <x:c r="H11" s="2" t="str">
        <x:v>经营性流出</x:v>
      </x:c>
      <x:c r="I11" s="2" t="str">
        <x:v>服务费</x:v>
      </x:c>
      <x:c r="J11" s="2" t="str">
        <x:v>明确合成初始记录；本轮无原附件字节认证，不作为早轮直接明示金额</x:v>
      </x:c>
    </x:row>
    <x:row r="12" ht="25" customHeight="1">
      <x:c r="A12" s="2" t="str">
        <x:v>HSJK011</x:v>
      </x:c>
      <x:c r="B12" s="5" t="n">
        <x:v>45979</x:v>
      </x:c>
      <x:c r="C12" s="2" t="str">
        <x:v>合生纪康</x:v>
      </x:c>
      <x:c r="D12" s="2" t="str">
        <x:v>亚星悦文</x:v>
      </x:c>
      <x:c r="E12" s="2" t="str">
        <x:v>实验往来单位</x:v>
      </x:c>
      <x:c r="F12" s="8" t="n">
        <x:v>0</x:v>
      </x:c>
      <x:c r="G12" s="8" t="n">
        <x:v>10000</x:v>
      </x:c>
      <x:c r="H12" s="2" t="str">
        <x:v>经营性流出</x:v>
      </x:c>
      <x:c r="I12" s="2" t="str">
        <x:v>服务费</x:v>
      </x:c>
      <x:c r="J12" s="2" t="str">
        <x:v>明确合成初始记录；本轮无原附件字节认证，不作为早轮直接明示金额</x:v>
      </x:c>
    </x:row>
    <x:row r="13" ht="25" customHeight="1">
      <x:c r="A13" s="2" t="str">
        <x:v>HSJK012</x:v>
      </x:c>
      <x:c r="B13" s="5" t="n">
        <x:v>45979</x:v>
      </x:c>
      <x:c r="C13" s="2" t="str">
        <x:v>合生纪康</x:v>
      </x:c>
      <x:c r="D13" s="2" t="str">
        <x:v>一力行</x:v>
      </x:c>
      <x:c r="E13" s="2" t="str">
        <x:v>实验往来单位</x:v>
      </x:c>
      <x:c r="F13" s="8" t="n">
        <x:v>0</x:v>
      </x:c>
      <x:c r="G13" s="8" t="n">
        <x:v>5500</x:v>
      </x:c>
      <x:c r="H13" s="2" t="str">
        <x:v>经营性流出</x:v>
      </x:c>
      <x:c r="I13" s="2" t="str">
        <x:v>服务费</x:v>
      </x:c>
      <x:c r="J13" s="2" t="str">
        <x:v>明确合成初始记录；本轮无原附件字节认证，不作为早轮直接明示金额</x:v>
      </x:c>
    </x:row>
    <x:row r="14" ht="25" customHeight="1">
      <x:c r="A14" s="2" t="str">
        <x:v>HSJK013</x:v>
      </x:c>
      <x:c r="B14" s="5" t="n">
        <x:v>45979</x:v>
      </x:c>
      <x:c r="C14" s="2" t="str">
        <x:v>合生纪康</x:v>
      </x:c>
      <x:c r="D14" s="2" t="str">
        <x:v>上海汶桦</x:v>
      </x:c>
      <x:c r="E14" s="2" t="str">
        <x:v>实验往来单位</x:v>
      </x:c>
      <x:c r="F14" s="8" t="n">
        <x:v>0</x:v>
      </x:c>
      <x:c r="G14" s="8" t="n">
        <x:v>2600</x:v>
      </x:c>
      <x:c r="H14" s="2" t="str">
        <x:v>经营性流出</x:v>
      </x:c>
      <x:c r="I14" s="2" t="str">
        <x:v>服务费</x:v>
      </x:c>
      <x:c r="J14" s="2" t="str">
        <x:v>明确合成初始记录；本轮无原附件字节认证，不作为早轮直接明示金额</x:v>
      </x:c>
    </x:row>
    <x:row r="15" ht="25" customHeight="1">
      <x:c r="A15" s="2" t="str">
        <x:v>HSJK014</x:v>
      </x:c>
      <x:c r="B15" s="5" t="n">
        <x:v>46012</x:v>
      </x:c>
      <x:c r="C15" s="2" t="str">
        <x:v>合生纪康</x:v>
      </x:c>
      <x:c r="D15" s="2" t="str">
        <x:v>产品销售收款</x:v>
      </x:c>
      <x:c r="E15" s="2" t="str">
        <x:v>实验往来单位</x:v>
      </x:c>
      <x:c r="F15" s="8" t="n">
        <x:v>30000</x:v>
      </x:c>
      <x:c r="G15" s="8" t="n">
        <x:v>0</x:v>
      </x:c>
      <x:c r="H15" s="2" t="str">
        <x:v>经营收入</x:v>
      </x:c>
      <x:c r="I15" s="2" t="str">
        <x:v>产品销售</x:v>
      </x:c>
      <x:c r="J15" s="2" t="str">
        <x:v>实验合成金额和日期；明确摘要要求保持原文</x:v>
      </x:c>
    </x:row>
    <x:row r="16" ht="25" customHeight="1">
      <x:c r="A16" s="2" t="str">
        <x:v>HSJK015</x:v>
      </x:c>
      <x:c r="B16" s="5" t="n">
        <x:v>46013</x:v>
      </x:c>
      <x:c r="C16" s="2" t="str">
        <x:v>合生纪康</x:v>
      </x:c>
      <x:c r="D16" s="2" t="str">
        <x:v>采购原料</x:v>
      </x:c>
      <x:c r="E16" s="2" t="str">
        <x:v>实验往来单位</x:v>
      </x:c>
      <x:c r="F16" s="8" t="n">
        <x:v>0</x:v>
      </x:c>
      <x:c r="G16" s="8" t="n">
        <x:v>9000</x:v>
      </x:c>
      <x:c r="H16" s="2" t="str">
        <x:v>经营性流出</x:v>
      </x:c>
      <x:c r="I16" s="2" t="str">
        <x:v>原料采购</x:v>
      </x:c>
      <x:c r="J16" s="2" t="str">
        <x:v>实验合成金额和日期；明确摘要要求保持原文</x:v>
      </x:c>
    </x:row>
    <x:row r="17" ht="25" customHeight="1">
      <x:c r="A17" s="2" t="str">
        <x:v>HSJK016</x:v>
      </x:c>
      <x:c r="B17" s="5" t="n">
        <x:v>46023</x:v>
      </x:c>
      <x:c r="C17" s="2" t="str">
        <x:v>合生纪康</x:v>
      </x:c>
      <x:c r="D17" s="2" t="str">
        <x:v>产品销售收款</x:v>
      </x:c>
      <x:c r="E17" s="2" t="str">
        <x:v>实验往来单位</x:v>
      </x:c>
      <x:c r="F17" s="8" t="n">
        <x:v>8000</x:v>
      </x:c>
      <x:c r="G17" s="8" t="n">
        <x:v>0</x:v>
      </x:c>
      <x:c r="H17" s="2" t="str">
        <x:v>经营收入</x:v>
      </x:c>
      <x:c r="I17" s="2" t="str">
        <x:v>产品销售</x:v>
      </x:c>
      <x:c r="J17" s="2" t="str">
        <x:v>实验合成金额和日期；明确摘要要求保持原文</x:v>
      </x:c>
    </x:row>
    <x:row r="18" ht="25" customHeight="1">
      <x:c r="A18" s="2" t="str">
        <x:v>HSJK017</x:v>
      </x:c>
      <x:c r="B18" s="5" t="n">
        <x:v>46024</x:v>
      </x:c>
      <x:c r="C18" s="2" t="str">
        <x:v>合生纪康</x:v>
      </x:c>
      <x:c r="D18" s="2" t="str">
        <x:v>产品销售收款</x:v>
      </x:c>
      <x:c r="E18" s="2" t="str">
        <x:v>实验往来单位</x:v>
      </x:c>
      <x:c r="F18" s="8" t="n">
        <x:v>50000</x:v>
      </x:c>
      <x:c r="G18" s="8" t="n">
        <x:v>0</x:v>
      </x:c>
      <x:c r="H18" s="2" t="str">
        <x:v>经营收入</x:v>
      </x:c>
      <x:c r="I18" s="2" t="str">
        <x:v>产品销售</x:v>
      </x:c>
      <x:c r="J18" s="2" t="str">
        <x:v>实验合成金额和日期；明确摘要要求保持原文</x:v>
      </x:c>
    </x:row>
    <x:row r="19" ht="25" customHeight="1">
      <x:c r="A19" s="2" t="str">
        <x:v>HSJK018</x:v>
      </x:c>
      <x:c r="B19" s="5" t="n">
        <x:v>46058</x:v>
      </x:c>
      <x:c r="C19" s="2" t="str">
        <x:v>合生纪康</x:v>
      </x:c>
      <x:c r="D19" s="2" t="str">
        <x:v>采购原料</x:v>
      </x:c>
      <x:c r="E19" s="2" t="str">
        <x:v>实验往来单位</x:v>
      </x:c>
      <x:c r="F19" s="8" t="n">
        <x:v>0</x:v>
      </x:c>
      <x:c r="G19" s="8" t="n">
        <x:v>18000</x:v>
      </x:c>
      <x:c r="H19" s="2" t="str">
        <x:v>经营性流出</x:v>
      </x:c>
      <x:c r="I19" s="2" t="str">
        <x:v>原料采购</x:v>
      </x:c>
      <x:c r="J19" s="2" t="str">
        <x:v>实验合成金额和日期；明确摘要要求保持原文</x:v>
      </x:c>
    </x:row>
    <x:row r="20" ht="25" customHeight="1">
      <x:c r="A20" s="2" t="str">
        <x:v>HSJK019</x:v>
      </x:c>
      <x:c r="B20" s="5" t="n">
        <x:v>46065</x:v>
      </x:c>
      <x:c r="C20" s="2" t="str">
        <x:v>合生纪康</x:v>
      </x:c>
      <x:c r="D20" s="2" t="str">
        <x:v>设计款</x:v>
      </x:c>
      <x:c r="E20" s="2" t="str">
        <x:v>实验往来单位</x:v>
      </x:c>
      <x:c r="F20" s="8" t="n">
        <x:v>0</x:v>
      </x:c>
      <x:c r="G20" s="8" t="n">
        <x:v>6000</x:v>
      </x:c>
      <x:c r="H20" s="2" t="str">
        <x:v>经营性流出</x:v>
      </x:c>
      <x:c r="I20" s="2" t="str">
        <x:v>设计款</x:v>
      </x:c>
      <x:c r="J20" s="2" t="str">
        <x:v>实验合成金额和日期；明确摘要要求保持原文</x:v>
      </x:c>
    </x:row>
    <x:row r="21" ht="25" customHeight="1">
      <x:c r="A21" s="2" t="str">
        <x:v>HSJK020</x:v>
      </x:c>
      <x:c r="B21" s="5" t="n">
        <x:v>46090</x:v>
      </x:c>
      <x:c r="C21" s="2" t="str">
        <x:v>合生纪康</x:v>
      </x:c>
      <x:c r="D21" s="2" t="str">
        <x:v>合生纪康展位费</x:v>
      </x:c>
      <x:c r="E21" s="2" t="str">
        <x:v>实验往来单位</x:v>
      </x:c>
      <x:c r="F21" s="8" t="n">
        <x:v>0</x:v>
      </x:c>
      <x:c r="G21" s="8" t="n">
        <x:v>8000</x:v>
      </x:c>
      <x:c r="H21" s="2" t="str">
        <x:v>经营性流出</x:v>
      </x:c>
      <x:c r="I21" s="2" t="str">
        <x:v>合生纪康展位费</x:v>
      </x:c>
      <x:c r="J21" s="2" t="str">
        <x:v>实验合成金额和日期；明确摘要要求保持原文</x:v>
      </x:c>
    </x:row>
    <x:row r="22" ht="25" customHeight="1">
      <x:c r="A22" s="2" t="str">
        <x:v>HSJK023</x:v>
      </x:c>
      <x:c r="B22" s="5" t="n">
        <x:v>46121</x:v>
      </x:c>
      <x:c r="C22" s="2" t="str">
        <x:v>合生纪康</x:v>
      </x:c>
      <x:c r="D22" s="2" t="str">
        <x:v>降尿酸益生菌-均瑶1吨罐代工生产首付款50%</x:v>
      </x:c>
      <x:c r="E22" s="2" t="str">
        <x:v>实验往来单位</x:v>
      </x:c>
      <x:c r="F22" s="8" t="n">
        <x:v>0</x:v>
      </x:c>
      <x:c r="G22" s="8" t="n">
        <x:v>30000</x:v>
      </x:c>
      <x:c r="H22" s="2" t="str">
        <x:v>经营性流出</x:v>
      </x:c>
      <x:c r="I22" s="2" t="str">
        <x:v>降尿酸益生菌-均瑶1吨罐代工生产首付款50%</x:v>
      </x:c>
      <x:c r="J22" s="2" t="str">
        <x:v>实验合成金额和日期；明确摘要要求保持原文</x:v>
      </x:c>
    </x:row>
    <x:row r="23" ht="25" customHeight="1">
      <x:c r="A23" s="2" t="str">
        <x:v>HSJK024</x:v>
      </x:c>
      <x:c r="B23" s="5" t="n">
        <x:v>46150</x:v>
      </x:c>
      <x:c r="C23" s="2" t="str">
        <x:v>合生纪康</x:v>
      </x:c>
      <x:c r="D23" s="2" t="str">
        <x:v>员工差旅报销</x:v>
      </x:c>
      <x:c r="E23" s="2" t="str">
        <x:v>实验往来单位</x:v>
      </x:c>
      <x:c r="F23" s="8" t="n">
        <x:v>0</x:v>
      </x:c>
      <x:c r="G23" s="8" t="n">
        <x:v>4200</x:v>
      </x:c>
      <x:c r="H23" s="2" t="str">
        <x:v>员工报销</x:v>
      </x:c>
      <x:c r="I23" s="2" t="str">
        <x:v>差旅报销</x:v>
      </x:c>
      <x:c r="J23" s="2" t="str">
        <x:v>实验合成金额和日期；明确摘要要求保持原文</x:v>
      </x:c>
    </x:row>
    <x:row r="24" ht="25" customHeight="1">
      <x:c r="A24" s="2" t="str">
        <x:v>HSJK025</x:v>
      </x:c>
      <x:c r="B24" s="5" t="n">
        <x:v>46181</x:v>
      </x:c>
      <x:c r="C24" s="2" t="str">
        <x:v>合生纪康</x:v>
      </x:c>
      <x:c r="D24" s="2" t="str">
        <x:v>降尿酸益生菌-均瑶1吨罐代工生产尾款</x:v>
      </x:c>
      <x:c r="E24" s="2" t="str">
        <x:v>实验往来单位</x:v>
      </x:c>
      <x:c r="F24" s="8" t="n">
        <x:v>0</x:v>
      </x:c>
      <x:c r="G24" s="8" t="n">
        <x:v>30000</x:v>
      </x:c>
      <x:c r="H24" s="2" t="str">
        <x:v>经营性流出</x:v>
      </x:c>
      <x:c r="I24" s="2" t="str">
        <x:v>降尿酸益生菌-均瑶1吨罐代工生产尾款</x:v>
      </x:c>
      <x:c r="J24" s="2" t="str">
        <x:v>实验合成金额和日期；明确摘要要求保持原文</x:v>
      </x:c>
    </x:row>
    <x:row r="25" ht="25" customHeight="1">
      <x:c r="A25" s="2" t="str">
        <x:v>HSJK026</x:v>
      </x:c>
      <x:c r="B25" s="5" t="n">
        <x:v>46194</x:v>
      </x:c>
      <x:c r="C25" s="2" t="str">
        <x:v>合生纪康</x:v>
      </x:c>
      <x:c r="D25" s="2" t="str">
        <x:v>产品销售收款</x:v>
      </x:c>
      <x:c r="E25" s="2" t="str">
        <x:v>实验往来单位</x:v>
      </x:c>
      <x:c r="F25" s="8" t="n">
        <x:v>70000</x:v>
      </x:c>
      <x:c r="G25" s="8" t="n">
        <x:v>0</x:v>
      </x:c>
      <x:c r="H25" s="2" t="str">
        <x:v>经营收入</x:v>
      </x:c>
      <x:c r="I25" s="2" t="str">
        <x:v>产品销售</x:v>
      </x:c>
      <x:c r="J25" s="2" t="str">
        <x:v>实验合成金额和日期；明确摘要要求保持原文</x:v>
      </x:c>
    </x:row>
    <x:row r="26" ht="25" customHeight="1">
      <x:c r="A26" s="2" t="str">
        <x:v>HSJK027</x:v>
      </x:c>
      <x:c r="B26" s="5" t="n">
        <x:v>46195</x:v>
      </x:c>
      <x:c r="C26" s="2" t="str">
        <x:v>合生纪康</x:v>
      </x:c>
      <x:c r="D26" s="2" t="str">
        <x:v>房租</x:v>
      </x:c>
      <x:c r="E26" s="2" t="str">
        <x:v>实验往来单位</x:v>
      </x:c>
      <x:c r="F26" s="8" t="n">
        <x:v>0</x:v>
      </x:c>
      <x:c r="G26" s="8" t="n">
        <x:v>11000</x:v>
      </x:c>
      <x:c r="H26" s="2" t="str">
        <x:v>经营性流出</x:v>
      </x:c>
      <x:c r="I26" s="2" t="str">
        <x:v>租赁费</x:v>
      </x:c>
      <x:c r="J26" s="2" t="str">
        <x:v>实验合成金额和日期；明确摘要要求保持原文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公司</x:v>
      </x:c>
      <x:c r="B5" s="2" t="str">
        <x:v>合生纪康</x:v>
      </x:c>
    </x:row>
    <x:row r="6" ht="25" customHeight="1">
      <x:c r="A6" s="2" t="str">
        <x:v>模板范围</x:v>
      </x:c>
      <x:c r="B6" s="2" t="str">
        <x:v>2025-08-07 至 2025-12-21；这是已给历史模板，不是应生成的 2026 上半年最终文件。</x:v>
      </x:c>
    </x:row>
    <x:row r="7" ht="25" customHeight="1">
      <x:c r="A7" s="2" t="str">
        <x:v>模板公式</x:v>
      </x:c>
      <x:c r="B7" s="2" t="str">
        <x:v>金额列按类别、项目和起止日期 SUMIFS；不宣称恢复原附件样式或未知原公式字节。</x:v>
      </x:c>
    </x:row>
    <x:row r="8" ht="25" customHeight="1">
      <x:c r="A8" s="2" t="str">
        <x:v>2025服务费初始合成假设</x:v>
      </x:c>
      <x:c r="B8" s="2" t="str">
        <x:v>七笔服务费及合计58400元是实验初始材料；不认证原企业附件数字或历史初始文件。</x:v>
      </x:c>
    </x:row>
  </x:sheetData>
  <x:pageMargins left="0.7" right="0.7" top="0.75" bottom="0.75" header="0.3" footer="0.3"/>
</x:worksheet>
</file>