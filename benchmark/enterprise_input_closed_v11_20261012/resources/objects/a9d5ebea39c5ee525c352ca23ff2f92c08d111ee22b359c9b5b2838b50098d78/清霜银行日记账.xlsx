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76b4cdc93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流水" sheetId="1" r:id="R3b24bff833a5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(#,##0.00);0.00"/>
  </x:numFmts>
  <x:fonts count="5">
    <x:font>
      <x:sz val="11"/>
      <x:name val="Carlito"/>
    </x:font>
    <x:font>
      <x:sz val="10"/>
      <x:color rgb="FF172033"/>
      <x:name val="Microsoft YaHei"/>
    </x:font>
    <x:font>
      <x:b/>
      <x:sz val="14"/>
      <x:color rgb="FF162641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af21a50854747" /><Relationship Type="http://schemas.openxmlformats.org/officeDocument/2006/relationships/theme" Target="/xl/theme/theme1.xml" Id="Rfb064f1ffd484911" /><Relationship Type="http://schemas.openxmlformats.org/officeDocument/2006/relationships/sharedStrings" Target="/xl/sharedStrings.xml" Id="R677f1295c56a4d6b" /><Relationship Type="http://schemas.openxmlformats.org/officeDocument/2006/relationships/worksheet" Target="/xl/worksheets/sheet1.xml" Id="R3b24bff833a544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42" hidden="0" customWidth="1"/>
    <x:col min="5" max="5" width="4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14" hidden="0" customWidth="1"/>
    <x:col min="11" max="11" width="78" hidden="0" customWidth="1"/>
  </x:cols>
  <x:sheetData>
    <x:row r="1" ht="26" customHeight="1">
      <x:c r="A1" s="3" t="str">
        <x:v>银行流水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5" t="str">
        <x:v>实验合成原始银行流水；原文件名保留清霜，银行主体按用户原称紫衫构造；期初银行余额6000…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2"/>
      <x:c r="B3" s="2"/>
      <x:c r="C3" s="2"/>
      <x:c r="D3" s="2"/>
      <x:c r="E3" s="2"/>
      <x:c r="F3" s="2"/>
      <x:c r="G3" s="2" t="str">
        <x:v>期初现金元</x:v>
      </x:c>
      <x:c r="H3" s="2" t="n">
        <x:v>6000000</x:v>
      </x:c>
      <x:c r="I3" s="2"/>
      <x:c r="J3" s="2"/>
      <x:c r="K3" s="2"/>
    </x:row>
    <x:row r="4" ht="34" customHeight="1">
      <x:c r="A4" s="9" t="str">
        <x:v>流水号</x:v>
      </x:c>
      <x:c r="B4" s="9" t="str">
        <x:v>日期</x:v>
      </x:c>
      <x:c r="C4" s="9" t="str">
        <x:v>银行主体</x:v>
      </x:c>
      <x:c r="D4" s="9" t="str">
        <x:v>对手方</x:v>
      </x:c>
      <x:c r="E4" s="9" t="str">
        <x:v>银行摘要</x:v>
      </x:c>
      <x:c r="F4" s="9" t="str">
        <x:v>收入元</x:v>
      </x:c>
      <x:c r="G4" s="9" t="str">
        <x:v>支出元</x:v>
      </x:c>
      <x:c r="H4" s="9" t="str">
        <x:v>余额元</x:v>
      </x:c>
      <x:c r="I4" s="9" t="str">
        <x:v>合同编号</x:v>
      </x:c>
      <x:c r="J4" s="9" t="str">
        <x:v>付款阶段</x:v>
      </x:c>
      <x:c r="K4" s="9" t="str">
        <x:v>原始备注</x:v>
      </x:c>
    </x:row>
    <x:row r="5" ht="15" hidden="0" customHeight="1">
      <x:c r="A5" s="11" t="str">
        <x:v>BANK-SYN-001</x:v>
      </x:c>
      <x:c r="B5" s="13" t="n">
        <x:v>46118</x:v>
      </x:c>
      <x:c r="C5" s="11" t="str">
        <x:v>紫衫</x:v>
      </x:c>
      <x:c r="D5" s="11" t="str">
        <x:v>实验客户A</x:v>
      </x:c>
      <x:c r="E5" s="11" t="str">
        <x:v>产品销售回款</x:v>
      </x:c>
      <x:c r="F5" s="15" t="n">
        <x:v>80000</x:v>
      </x:c>
      <x:c r="G5" s="15" t="n">
        <x:v>0</x:v>
      </x:c>
      <x:c r="H5" s="11" t="n">
        <x:f>$H$3+F5-G5</x:f>
        <x:v>6080000</x:v>
      </x:c>
      <x:c r="I5" s="11" t="str">
        <x:v>SALE-SYN-01</x:v>
      </x:c>
      <x:c r="J5" s="11" t="str">
        <x:v>收款</x:v>
      </x:c>
      <x:c r="K5" s="11" t="str">
        <x:v>合成普通经营交易，位于用户指定开始日前</x:v>
      </x:c>
    </x:row>
    <x:row r="6" ht="15" hidden="0" customHeight="1">
      <x:c r="A6" s="11" t="str">
        <x:v>BANK-SYN-002</x:v>
      </x:c>
      <x:c r="B6" s="13" t="n">
        <x:v>46119</x:v>
      </x:c>
      <x:c r="C6" s="11" t="str">
        <x:v>紫衫</x:v>
      </x:c>
      <x:c r="D6" s="11" t="str">
        <x:v>玉环沙门项目公司原股东（实验主体）</x:v>
      </x:c>
      <x:c r="E6" s="11" t="str">
        <x:v>玉环沙门项目公司股权转让款首期</x:v>
      </x:c>
      <x:c r="F6" s="15" t="n">
        <x:v>0</x:v>
      </x:c>
      <x:c r="G6" s="15" t="n">
        <x:v>1200000</x:v>
      </x:c>
      <x:c r="H6" s="11" t="n">
        <x:f>H5+F6-G6</x:f>
        <x:v>4880000</x:v>
      </x:c>
      <x:c r="I6" s="11" t="str">
        <x:v>EQ-SYN-01</x:v>
      </x:c>
      <x:c r="J6" s="11" t="str">
        <x:v>首期</x:v>
      </x:c>
      <x:c r="K6" s="11" t="str">
        <x:v>用户明确提到4月7日玉环沙门股权款；金额及主体细节合成</x:v>
      </x:c>
    </x:row>
    <x:row r="7" ht="15" hidden="0" customHeight="1">
      <x:c r="A7" s="11" t="str">
        <x:v>BANK-SYN-003</x:v>
      </x:c>
      <x:c r="B7" s="13" t="n">
        <x:v>46122</x:v>
      </x:c>
      <x:c r="C7" s="11" t="str">
        <x:v>紫衫</x:v>
      </x:c>
      <x:c r="D7" s="11" t="str">
        <x:v>玉环沙门项目公司原股东（实验主体）</x:v>
      </x:c>
      <x:c r="E7" s="11" t="str">
        <x:v>玉环沙门项目公司股权转让款尾期</x:v>
      </x:c>
      <x:c r="F7" s="15" t="n">
        <x:v>0</x:v>
      </x:c>
      <x:c r="G7" s="15" t="n">
        <x:v>800000</x:v>
      </x:c>
      <x:c r="H7" s="11" t="n">
        <x:f>H6+F7-G7</x:f>
        <x:v>4080000</x:v>
      </x:c>
      <x:c r="I7" s="11" t="str">
        <x:v>EQ-SYN-01</x:v>
      </x:c>
      <x:c r="J7" s="11" t="str">
        <x:v>尾期</x:v>
      </x:c>
      <x:c r="K7" s="11" t="str">
        <x:v>同一股权交易分期付款，不是另一份股权成本</x:v>
      </x:c>
    </x:row>
    <x:row r="8" ht="15" hidden="0" customHeight="1">
      <x:c r="A8" s="11" t="str">
        <x:v>BANK-SYN-004</x:v>
      </x:c>
      <x:c r="B8" s="13" t="n">
        <x:v>46127</x:v>
      </x:c>
      <x:c r="C8" s="11" t="str">
        <x:v>紫衫</x:v>
      </x:c>
      <x:c r="D8" s="11" t="str">
        <x:v>橙粟</x:v>
      </x:c>
      <x:c r="E8" s="11" t="str">
        <x:v>收到橙粟新增出资款</x:v>
      </x:c>
      <x:c r="F8" s="15" t="n">
        <x:v>400000</x:v>
      </x:c>
      <x:c r="G8" s="15" t="n">
        <x:v>0</x:v>
      </x:c>
      <x:c r="H8" s="11" t="n">
        <x:f>H7+F8-G8</x:f>
        <x:v>4480000</x:v>
      </x:c>
      <x:c r="I8" s="11" t="str">
        <x:v>EQ-SYN-02</x:v>
      </x:c>
      <x:c r="J8" s="11" t="str">
        <x:v>一次</x:v>
      </x:c>
      <x:c r="K8" s="11" t="str">
        <x:v>交易目标为紫衫自身增资；银行主体紫衫收款</x:v>
      </x:c>
    </x:row>
    <x:row r="9" ht="15" hidden="0" customHeight="1">
      <x:c r="A9" s="11" t="str">
        <x:v>BANK-SYN-005</x:v>
      </x:c>
      <x:c r="B9" s="13" t="n">
        <x:v>46130</x:v>
      </x:c>
      <x:c r="C9" s="11" t="str">
        <x:v>紫衫</x:v>
      </x:c>
      <x:c r="D9" s="11" t="str">
        <x:v>实验供应商A</x:v>
      </x:c>
      <x:c r="E9" s="11" t="str">
        <x:v>生产设备预付款</x:v>
      </x:c>
      <x:c r="F9" s="15" t="n">
        <x:v>0</x:v>
      </x:c>
      <x:c r="G9" s="15" t="n">
        <x:v>30000</x:v>
      </x:c>
      <x:c r="H9" s="11" t="n">
        <x:f>H8+F9-G9</x:f>
        <x:v>4450000</x:v>
      </x:c>
      <x:c r="I9" s="11" t="str">
        <x:v>CAP-SYN-01</x:v>
      </x:c>
      <x:c r="J9" s="11" t="str">
        <x:v>首期</x:v>
      </x:c>
      <x:c r="K9" s="11" t="str">
        <x:v>非股权付款，保留用于区分业务性质</x:v>
      </x:c>
    </x:row>
    <x:row r="10" ht="15" hidden="0" customHeight="1">
      <x:c r="A10" s="11" t="str">
        <x:v>BANK-SYN-006</x:v>
      </x:c>
      <x:c r="B10" s="13" t="n">
        <x:v>46134</x:v>
      </x:c>
      <x:c r="C10" s="11" t="str">
        <x:v>紫衫</x:v>
      </x:c>
      <x:c r="D10" s="11" t="str">
        <x:v>橙粟</x:v>
      </x:c>
      <x:c r="E10" s="11" t="str">
        <x:v>受让橙粟持有清霜股权转让价款</x:v>
      </x:c>
      <x:c r="F10" s="15" t="n">
        <x:v>0</x:v>
      </x:c>
      <x:c r="G10" s="15" t="n">
        <x:v>700000</x:v>
      </x:c>
      <x:c r="H10" s="11" t="n">
        <x:f>H9+F10-G10</x:f>
        <x:v>3750000</x:v>
      </x:c>
      <x:c r="I10" s="11" t="str">
        <x:v>EQ-SYN-03</x:v>
      </x:c>
      <x:c r="J10" s="11" t="str">
        <x:v>一次</x:v>
      </x:c>
      <x:c r="K10" s="11" t="str">
        <x:v>股权转让价款与对应注册资本份额不同</x:v>
      </x:c>
    </x:row>
    <x:row r="11" ht="15" hidden="0" customHeight="1">
      <x:c r="A11" s="11" t="str">
        <x:v>BANK-SYN-007</x:v>
      </x:c>
      <x:c r="B11" s="13" t="n">
        <x:v>46138</x:v>
      </x:c>
      <x:c r="C11" s="11" t="str">
        <x:v>紫衫</x:v>
      </x:c>
      <x:c r="D11" s="11" t="str">
        <x:v>实验员工A</x:v>
      </x:c>
      <x:c r="E11" s="11" t="str">
        <x:v>差旅报销</x:v>
      </x:c>
      <x:c r="F11" s="15" t="n">
        <x:v>0</x:v>
      </x:c>
      <x:c r="G11" s="15" t="n">
        <x:v>4800</x:v>
      </x:c>
      <x:c r="H11" s="11" t="n">
        <x:f>H10+F11-G11</x:f>
        <x:v>3745200</x:v>
      </x:c>
      <x:c r="I11" s="11" t="str">
        <x:v>EXP-SYN-01</x:v>
      </x:c>
      <x:c r="J11" s="11" t="str">
        <x:v>一次</x:v>
      </x:c>
      <x:c r="K11" s="11" t="str">
        <x:v>普通期间费用付款</x:v>
      </x:c>
    </x:row>
  </x:sheetData>
  <x:pageMargins left="0.7" right="0.7" top="0.75" bottom="0.75" header="0.3" footer="0.3"/>
</x:worksheet>
</file>