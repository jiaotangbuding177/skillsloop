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PCR原始记录" sheetId="1" state="visible" r:id="rId1"/>
    <sheet xmlns:r="http://schemas.openxmlformats.org/officeDocument/2006/relationships" name="材料身份" sheetId="2" state="visible" r:id="rId2"/>
  </sheets>
  <definedNames>
    <definedName name="_xlnm.Print_Titles" localSheetId="0">'qPCR原始记录'!$1:$1</definedName>
    <definedName name="_xlnm.Print_Area" localSheetId="0">'qPCR原始记录'!$A$1:$J$46</definedName>
    <definedName name="_xlnm.Print_Titles" localSheetId="1">'材料身份'!$1:$1</definedName>
    <definedName name="_xlnm.Print_Area" localSheetId="1">'材料身份'!$A$1:$B$9</definedName>
  </definedNames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rlito"/>
      <sz val="11"/>
    </font>
    <font>
      <name val="Microsoft YaHei"/>
      <sz val="10"/>
    </font>
    <font>
      <name val="Microsoft YaHei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83B56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6" customHeight="1">
      <c r="A1" s="5" t="inlineStr">
        <is>
          <t>样本ID</t>
        </is>
      </c>
      <c r="B1" s="5" t="inlineStr">
        <is>
          <t>实验处理（合成）</t>
        </is>
      </c>
      <c r="C1" s="5" t="inlineStr">
        <is>
          <t>时间h</t>
        </is>
      </c>
      <c r="D1" s="5" t="inlineStr">
        <is>
          <t>重复编号</t>
        </is>
      </c>
      <c r="E1" s="5" t="inlineStr">
        <is>
          <t>HBG目标Ct</t>
        </is>
      </c>
      <c r="F1" s="5" t="inlineStr">
        <is>
          <t>参考Ct</t>
        </is>
      </c>
      <c r="G1" s="5" t="inlineStr">
        <is>
          <t>Ct上限</t>
        </is>
      </c>
      <c r="H1" s="5" t="inlineStr">
        <is>
          <t>ΔCt</t>
        </is>
      </c>
      <c r="I1" s="5" t="inlineStr">
        <is>
          <t>相对表达2^-ΔCt</t>
        </is>
      </c>
      <c r="J1" s="5" t="inlineStr">
        <is>
          <t>原图号</t>
        </is>
      </c>
    </row>
    <row r="2" ht="24" customHeight="1">
      <c r="A2" s="2" t="inlineStr">
        <is>
          <t>SYN-CHEM-001</t>
        </is>
      </c>
      <c r="B2" s="2" t="inlineStr">
        <is>
          <t>溶剂对照（实验设定）</t>
        </is>
      </c>
      <c r="C2" s="2" t="n">
        <v>0</v>
      </c>
      <c r="D2" s="2" t="n">
        <v>1</v>
      </c>
      <c r="E2" s="9" t="n">
        <v>34.98</v>
      </c>
      <c r="F2" s="9" t="n">
        <v>20.95</v>
      </c>
      <c r="G2" s="9" t="n">
        <v>35</v>
      </c>
      <c r="H2" s="9">
        <f>E2-F2</f>
        <v/>
      </c>
      <c r="I2" s="10">
        <f>2^(-H2)</f>
        <v/>
      </c>
      <c r="J2" s="2" t="inlineStr">
        <is>
          <t>未知</t>
        </is>
      </c>
    </row>
    <row r="3" ht="24" customHeight="1">
      <c r="A3" s="2" t="inlineStr">
        <is>
          <t>SYN-CHEM-002</t>
        </is>
      </c>
      <c r="B3" s="2" t="inlineStr">
        <is>
          <t>溶剂对照（实验设定）</t>
        </is>
      </c>
      <c r="C3" s="2" t="n">
        <v>0</v>
      </c>
      <c r="D3" s="2" t="n">
        <v>2</v>
      </c>
      <c r="E3" s="9" t="n">
        <v>35</v>
      </c>
      <c r="F3" s="9" t="n">
        <v>21</v>
      </c>
      <c r="G3" s="9" t="n">
        <v>35</v>
      </c>
      <c r="H3" s="9">
        <f>E3-F3</f>
        <v/>
      </c>
      <c r="I3" s="10">
        <f>2^(-H3)</f>
        <v/>
      </c>
      <c r="J3" s="2" t="inlineStr">
        <is>
          <t>未知</t>
        </is>
      </c>
    </row>
    <row r="4" ht="24" customHeight="1">
      <c r="A4" s="2" t="inlineStr">
        <is>
          <t>SYN-CHEM-003</t>
        </is>
      </c>
      <c r="B4" s="2" t="inlineStr">
        <is>
          <t>溶剂对照（实验设定）</t>
        </is>
      </c>
      <c r="C4" s="2" t="n">
        <v>0</v>
      </c>
      <c r="D4" s="2" t="n">
        <v>3</v>
      </c>
      <c r="E4" s="9" t="n">
        <v>35</v>
      </c>
      <c r="F4" s="9" t="n">
        <v>21.05</v>
      </c>
      <c r="G4" s="9" t="n">
        <v>35</v>
      </c>
      <c r="H4" s="9">
        <f>E4-F4</f>
        <v/>
      </c>
      <c r="I4" s="10">
        <f>2^(-H4)</f>
        <v/>
      </c>
      <c r="J4" s="2" t="inlineStr">
        <is>
          <t>未知</t>
        </is>
      </c>
    </row>
    <row r="5" ht="24" customHeight="1">
      <c r="A5" s="2" t="inlineStr">
        <is>
          <t>SYN-CHEM-004</t>
        </is>
      </c>
      <c r="B5" s="2" t="inlineStr">
        <is>
          <t>溶剂对照（实验设定）</t>
        </is>
      </c>
      <c r="C5" s="2" t="n">
        <v>6</v>
      </c>
      <c r="D5" s="2" t="n">
        <v>1</v>
      </c>
      <c r="E5" s="9" t="n">
        <v>34.91</v>
      </c>
      <c r="F5" s="9" t="n">
        <v>20.95</v>
      </c>
      <c r="G5" s="9" t="n">
        <v>35</v>
      </c>
      <c r="H5" s="9">
        <f>E5-F5</f>
        <v/>
      </c>
      <c r="I5" s="10">
        <f>2^(-H5)</f>
        <v/>
      </c>
      <c r="J5" s="2" t="inlineStr">
        <is>
          <t>未知</t>
        </is>
      </c>
    </row>
    <row r="6" ht="24" customHeight="1">
      <c r="A6" s="2" t="inlineStr">
        <is>
          <t>SYN-CHEM-005</t>
        </is>
      </c>
      <c r="B6" s="2" t="inlineStr">
        <is>
          <t>溶剂对照（实验设定）</t>
        </is>
      </c>
      <c r="C6" s="2" t="n">
        <v>6</v>
      </c>
      <c r="D6" s="2" t="n">
        <v>2</v>
      </c>
      <c r="E6" s="9" t="n">
        <v>35</v>
      </c>
      <c r="F6" s="9" t="n">
        <v>21</v>
      </c>
      <c r="G6" s="9" t="n">
        <v>35</v>
      </c>
      <c r="H6" s="9">
        <f>E6-F6</f>
        <v/>
      </c>
      <c r="I6" s="10">
        <f>2^(-H6)</f>
        <v/>
      </c>
      <c r="J6" s="2" t="inlineStr">
        <is>
          <t>未知</t>
        </is>
      </c>
    </row>
    <row r="7" ht="24" customHeight="1">
      <c r="A7" s="2" t="inlineStr">
        <is>
          <t>SYN-CHEM-006</t>
        </is>
      </c>
      <c r="B7" s="2" t="inlineStr">
        <is>
          <t>溶剂对照（实验设定）</t>
        </is>
      </c>
      <c r="C7" s="2" t="n">
        <v>6</v>
      </c>
      <c r="D7" s="2" t="n">
        <v>3</v>
      </c>
      <c r="E7" s="9" t="n">
        <v>35</v>
      </c>
      <c r="F7" s="9" t="n">
        <v>21.05</v>
      </c>
      <c r="G7" s="9" t="n">
        <v>35</v>
      </c>
      <c r="H7" s="9">
        <f>E7-F7</f>
        <v/>
      </c>
      <c r="I7" s="10">
        <f>2^(-H7)</f>
        <v/>
      </c>
      <c r="J7" s="2" t="inlineStr">
        <is>
          <t>未知</t>
        </is>
      </c>
    </row>
    <row r="8" ht="24" customHeight="1">
      <c r="A8" s="2" t="inlineStr">
        <is>
          <t>SYN-CHEM-007</t>
        </is>
      </c>
      <c r="B8" s="2" t="inlineStr">
        <is>
          <t>溶剂对照（实验设定）</t>
        </is>
      </c>
      <c r="C8" s="2" t="n">
        <v>12</v>
      </c>
      <c r="D8" s="2" t="n">
        <v>1</v>
      </c>
      <c r="E8" s="9" t="n">
        <v>34.84</v>
      </c>
      <c r="F8" s="9" t="n">
        <v>20.95</v>
      </c>
      <c r="G8" s="9" t="n">
        <v>35</v>
      </c>
      <c r="H8" s="9">
        <f>E8-F8</f>
        <v/>
      </c>
      <c r="I8" s="10">
        <f>2^(-H8)</f>
        <v/>
      </c>
      <c r="J8" s="2" t="inlineStr">
        <is>
          <t>未知</t>
        </is>
      </c>
    </row>
    <row r="9" ht="24" customHeight="1">
      <c r="A9" s="2" t="inlineStr">
        <is>
          <t>SYN-CHEM-008</t>
        </is>
      </c>
      <c r="B9" s="2" t="inlineStr">
        <is>
          <t>溶剂对照（实验设定）</t>
        </is>
      </c>
      <c r="C9" s="2" t="n">
        <v>12</v>
      </c>
      <c r="D9" s="2" t="n">
        <v>2</v>
      </c>
      <c r="E9" s="9" t="n">
        <v>34.96</v>
      </c>
      <c r="F9" s="9" t="n">
        <v>21</v>
      </c>
      <c r="G9" s="9" t="n">
        <v>35</v>
      </c>
      <c r="H9" s="9">
        <f>E9-F9</f>
        <v/>
      </c>
      <c r="I9" s="10">
        <f>2^(-H9)</f>
        <v/>
      </c>
      <c r="J9" s="2" t="inlineStr">
        <is>
          <t>未知</t>
        </is>
      </c>
    </row>
    <row r="10" ht="24" customHeight="1">
      <c r="A10" s="2" t="inlineStr">
        <is>
          <t>SYN-CHEM-009</t>
        </is>
      </c>
      <c r="B10" s="2" t="inlineStr">
        <is>
          <t>溶剂对照（实验设定）</t>
        </is>
      </c>
      <c r="C10" s="2" t="n">
        <v>12</v>
      </c>
      <c r="D10" s="2" t="n">
        <v>3</v>
      </c>
      <c r="E10" s="9" t="n">
        <v>35</v>
      </c>
      <c r="F10" s="9" t="n">
        <v>21.05</v>
      </c>
      <c r="G10" s="9" t="n">
        <v>35</v>
      </c>
      <c r="H10" s="9">
        <f>E10-F10</f>
        <v/>
      </c>
      <c r="I10" s="10">
        <f>2^(-H10)</f>
        <v/>
      </c>
      <c r="J10" s="2" t="inlineStr">
        <is>
          <t>未知</t>
        </is>
      </c>
    </row>
    <row r="11" ht="24" customHeight="1">
      <c r="A11" s="2" t="inlineStr">
        <is>
          <t>SYN-CHEM-010</t>
        </is>
      </c>
      <c r="B11" s="2" t="inlineStr">
        <is>
          <t>溶剂对照（实验设定）</t>
        </is>
      </c>
      <c r="C11" s="2" t="n">
        <v>24</v>
      </c>
      <c r="D11" s="2" t="n">
        <v>1</v>
      </c>
      <c r="E11" s="9" t="n">
        <v>34.71</v>
      </c>
      <c r="F11" s="9" t="n">
        <v>20.95</v>
      </c>
      <c r="G11" s="9" t="n">
        <v>35</v>
      </c>
      <c r="H11" s="9">
        <f>E11-F11</f>
        <v/>
      </c>
      <c r="I11" s="10">
        <f>2^(-H11)</f>
        <v/>
      </c>
      <c r="J11" s="2" t="inlineStr">
        <is>
          <t>未知</t>
        </is>
      </c>
    </row>
    <row r="12" ht="24" customHeight="1">
      <c r="A12" s="2" t="inlineStr">
        <is>
          <t>SYN-CHEM-011</t>
        </is>
      </c>
      <c r="B12" s="2" t="inlineStr">
        <is>
          <t>溶剂对照（实验设定）</t>
        </is>
      </c>
      <c r="C12" s="2" t="n">
        <v>24</v>
      </c>
      <c r="D12" s="2" t="n">
        <v>2</v>
      </c>
      <c r="E12" s="9" t="n">
        <v>34.83</v>
      </c>
      <c r="F12" s="9" t="n">
        <v>21</v>
      </c>
      <c r="G12" s="9" t="n">
        <v>35</v>
      </c>
      <c r="H12" s="9">
        <f>E12-F12</f>
        <v/>
      </c>
      <c r="I12" s="10">
        <f>2^(-H12)</f>
        <v/>
      </c>
      <c r="J12" s="2" t="inlineStr">
        <is>
          <t>未知</t>
        </is>
      </c>
    </row>
    <row r="13" ht="24" customHeight="1">
      <c r="A13" s="2" t="inlineStr">
        <is>
          <t>SYN-CHEM-012</t>
        </is>
      </c>
      <c r="B13" s="2" t="inlineStr">
        <is>
          <t>溶剂对照（实验设定）</t>
        </is>
      </c>
      <c r="C13" s="2" t="n">
        <v>24</v>
      </c>
      <c r="D13" s="2" t="n">
        <v>3</v>
      </c>
      <c r="E13" s="9" t="n">
        <v>34.95</v>
      </c>
      <c r="F13" s="9" t="n">
        <v>21.05</v>
      </c>
      <c r="G13" s="9" t="n">
        <v>35</v>
      </c>
      <c r="H13" s="9">
        <f>E13-F13</f>
        <v/>
      </c>
      <c r="I13" s="10">
        <f>2^(-H13)</f>
        <v/>
      </c>
      <c r="J13" s="2" t="inlineStr">
        <is>
          <t>未知</t>
        </is>
      </c>
    </row>
    <row r="14" ht="24" customHeight="1">
      <c r="A14" s="2" t="inlineStr">
        <is>
          <t>SYN-CHEM-013</t>
        </is>
      </c>
      <c r="B14" s="2" t="inlineStr">
        <is>
          <t>溶剂对照（实验设定）</t>
        </is>
      </c>
      <c r="C14" s="2" t="n">
        <v>48</v>
      </c>
      <c r="D14" s="2" t="n">
        <v>1</v>
      </c>
      <c r="E14" s="9" t="n">
        <v>34.43</v>
      </c>
      <c r="F14" s="9" t="n">
        <v>20.95</v>
      </c>
      <c r="G14" s="9" t="n">
        <v>35</v>
      </c>
      <c r="H14" s="9">
        <f>E14-F14</f>
        <v/>
      </c>
      <c r="I14" s="10">
        <f>2^(-H14)</f>
        <v/>
      </c>
      <c r="J14" s="2" t="inlineStr">
        <is>
          <t>未知</t>
        </is>
      </c>
    </row>
    <row r="15" ht="24" customHeight="1">
      <c r="A15" s="2" t="inlineStr">
        <is>
          <t>SYN-CHEM-014</t>
        </is>
      </c>
      <c r="B15" s="2" t="inlineStr">
        <is>
          <t>溶剂对照（实验设定）</t>
        </is>
      </c>
      <c r="C15" s="2" t="n">
        <v>48</v>
      </c>
      <c r="D15" s="2" t="n">
        <v>2</v>
      </c>
      <c r="E15" s="9" t="n">
        <v>34.55</v>
      </c>
      <c r="F15" s="9" t="n">
        <v>21</v>
      </c>
      <c r="G15" s="9" t="n">
        <v>35</v>
      </c>
      <c r="H15" s="9">
        <f>E15-F15</f>
        <v/>
      </c>
      <c r="I15" s="10">
        <f>2^(-H15)</f>
        <v/>
      </c>
      <c r="J15" s="2" t="inlineStr">
        <is>
          <t>未知</t>
        </is>
      </c>
    </row>
    <row r="16" ht="24" customHeight="1">
      <c r="A16" s="2" t="inlineStr">
        <is>
          <t>SYN-CHEM-015</t>
        </is>
      </c>
      <c r="B16" s="2" t="inlineStr">
        <is>
          <t>溶剂对照（实验设定）</t>
        </is>
      </c>
      <c r="C16" s="2" t="n">
        <v>48</v>
      </c>
      <c r="D16" s="2" t="n">
        <v>3</v>
      </c>
      <c r="E16" s="9" t="n">
        <v>34.67</v>
      </c>
      <c r="F16" s="9" t="n">
        <v>21.05</v>
      </c>
      <c r="G16" s="9" t="n">
        <v>35</v>
      </c>
      <c r="H16" s="9">
        <f>E16-F16</f>
        <v/>
      </c>
      <c r="I16" s="10">
        <f>2^(-H16)</f>
        <v/>
      </c>
      <c r="J16" s="2" t="inlineStr">
        <is>
          <t>未知</t>
        </is>
      </c>
    </row>
    <row r="17" ht="24" customHeight="1">
      <c r="A17" s="2" t="inlineStr">
        <is>
          <t>SYN-CHEM-016</t>
        </is>
      </c>
      <c r="B17" s="2" t="inlineStr">
        <is>
          <t>ABA（实验设定）</t>
        </is>
      </c>
      <c r="C17" s="2" t="n">
        <v>0</v>
      </c>
      <c r="D17" s="2" t="n">
        <v>1</v>
      </c>
      <c r="E17" s="9" t="n">
        <v>34.18</v>
      </c>
      <c r="F17" s="9" t="n">
        <v>20.95</v>
      </c>
      <c r="G17" s="9" t="n">
        <v>35</v>
      </c>
      <c r="H17" s="9">
        <f>E17-F17</f>
        <v/>
      </c>
      <c r="I17" s="10">
        <f>2^(-H17)</f>
        <v/>
      </c>
      <c r="J17" s="2" t="inlineStr">
        <is>
          <t>未知</t>
        </is>
      </c>
    </row>
    <row r="18" ht="24" customHeight="1">
      <c r="A18" s="2" t="inlineStr">
        <is>
          <t>SYN-CHEM-017</t>
        </is>
      </c>
      <c r="B18" s="2" t="inlineStr">
        <is>
          <t>ABA（实验设定）</t>
        </is>
      </c>
      <c r="C18" s="2" t="n">
        <v>0</v>
      </c>
      <c r="D18" s="2" t="n">
        <v>2</v>
      </c>
      <c r="E18" s="9" t="n">
        <v>34.3</v>
      </c>
      <c r="F18" s="9" t="n">
        <v>21</v>
      </c>
      <c r="G18" s="9" t="n">
        <v>35</v>
      </c>
      <c r="H18" s="9">
        <f>E18-F18</f>
        <v/>
      </c>
      <c r="I18" s="10">
        <f>2^(-H18)</f>
        <v/>
      </c>
      <c r="J18" s="2" t="inlineStr">
        <is>
          <t>未知</t>
        </is>
      </c>
    </row>
    <row r="19" ht="24" customHeight="1">
      <c r="A19" s="2" t="inlineStr">
        <is>
          <t>SYN-CHEM-018</t>
        </is>
      </c>
      <c r="B19" s="2" t="inlineStr">
        <is>
          <t>ABA（实验设定）</t>
        </is>
      </c>
      <c r="C19" s="2" t="n">
        <v>0</v>
      </c>
      <c r="D19" s="2" t="n">
        <v>3</v>
      </c>
      <c r="E19" s="9" t="n">
        <v>34.42</v>
      </c>
      <c r="F19" s="9" t="n">
        <v>21.05</v>
      </c>
      <c r="G19" s="9" t="n">
        <v>35</v>
      </c>
      <c r="H19" s="9">
        <f>E19-F19</f>
        <v/>
      </c>
      <c r="I19" s="10">
        <f>2^(-H19)</f>
        <v/>
      </c>
      <c r="J19" s="2" t="inlineStr">
        <is>
          <t>未知</t>
        </is>
      </c>
    </row>
    <row r="20" ht="24" customHeight="1">
      <c r="A20" s="2" t="inlineStr">
        <is>
          <t>SYN-CHEM-019</t>
        </is>
      </c>
      <c r="B20" s="2" t="inlineStr">
        <is>
          <t>ABA（实验设定）</t>
        </is>
      </c>
      <c r="C20" s="2" t="n">
        <v>6</v>
      </c>
      <c r="D20" s="2" t="n">
        <v>1</v>
      </c>
      <c r="E20" s="9" t="n">
        <v>34.11</v>
      </c>
      <c r="F20" s="9" t="n">
        <v>20.95</v>
      </c>
      <c r="G20" s="9" t="n">
        <v>35</v>
      </c>
      <c r="H20" s="9">
        <f>E20-F20</f>
        <v/>
      </c>
      <c r="I20" s="10">
        <f>2^(-H20)</f>
        <v/>
      </c>
      <c r="J20" s="2" t="inlineStr">
        <is>
          <t>未知</t>
        </is>
      </c>
    </row>
    <row r="21" ht="24" customHeight="1">
      <c r="A21" s="2" t="inlineStr">
        <is>
          <t>SYN-CHEM-020</t>
        </is>
      </c>
      <c r="B21" s="2" t="inlineStr">
        <is>
          <t>ABA（实验设定）</t>
        </is>
      </c>
      <c r="C21" s="2" t="n">
        <v>6</v>
      </c>
      <c r="D21" s="2" t="n">
        <v>2</v>
      </c>
      <c r="E21" s="9" t="n">
        <v>34.23</v>
      </c>
      <c r="F21" s="9" t="n">
        <v>21</v>
      </c>
      <c r="G21" s="9" t="n">
        <v>35</v>
      </c>
      <c r="H21" s="9">
        <f>E21-F21</f>
        <v/>
      </c>
      <c r="I21" s="10">
        <f>2^(-H21)</f>
        <v/>
      </c>
      <c r="J21" s="2" t="inlineStr">
        <is>
          <t>未知</t>
        </is>
      </c>
    </row>
    <row r="22" ht="24" customHeight="1">
      <c r="A22" s="2" t="inlineStr">
        <is>
          <t>SYN-CHEM-021</t>
        </is>
      </c>
      <c r="B22" s="2" t="inlineStr">
        <is>
          <t>ABA（实验设定）</t>
        </is>
      </c>
      <c r="C22" s="2" t="n">
        <v>6</v>
      </c>
      <c r="D22" s="2" t="n">
        <v>3</v>
      </c>
      <c r="E22" s="9" t="n">
        <v>34.35</v>
      </c>
      <c r="F22" s="9" t="n">
        <v>21.05</v>
      </c>
      <c r="G22" s="9" t="n">
        <v>35</v>
      </c>
      <c r="H22" s="9">
        <f>E22-F22</f>
        <v/>
      </c>
      <c r="I22" s="10">
        <f>2^(-H22)</f>
        <v/>
      </c>
      <c r="J22" s="2" t="inlineStr">
        <is>
          <t>未知</t>
        </is>
      </c>
    </row>
    <row r="23" ht="24" customHeight="1">
      <c r="A23" s="2" t="inlineStr">
        <is>
          <t>SYN-CHEM-022</t>
        </is>
      </c>
      <c r="B23" s="2" t="inlineStr">
        <is>
          <t>ABA（实验设定）</t>
        </is>
      </c>
      <c r="C23" s="2" t="n">
        <v>12</v>
      </c>
      <c r="D23" s="2" t="n">
        <v>1</v>
      </c>
      <c r="E23" s="9" t="n">
        <v>34.04</v>
      </c>
      <c r="F23" s="9" t="n">
        <v>20.95</v>
      </c>
      <c r="G23" s="9" t="n">
        <v>35</v>
      </c>
      <c r="H23" s="9">
        <f>E23-F23</f>
        <v/>
      </c>
      <c r="I23" s="10">
        <f>2^(-H23)</f>
        <v/>
      </c>
      <c r="J23" s="2" t="inlineStr">
        <is>
          <t>未知</t>
        </is>
      </c>
    </row>
    <row r="24" ht="24" customHeight="1">
      <c r="A24" s="2" t="inlineStr">
        <is>
          <t>SYN-CHEM-023</t>
        </is>
      </c>
      <c r="B24" s="2" t="inlineStr">
        <is>
          <t>ABA（实验设定）</t>
        </is>
      </c>
      <c r="C24" s="2" t="n">
        <v>12</v>
      </c>
      <c r="D24" s="2" t="n">
        <v>2</v>
      </c>
      <c r="E24" s="9" t="n">
        <v>34.16</v>
      </c>
      <c r="F24" s="9" t="n">
        <v>21</v>
      </c>
      <c r="G24" s="9" t="n">
        <v>35</v>
      </c>
      <c r="H24" s="9">
        <f>E24-F24</f>
        <v/>
      </c>
      <c r="I24" s="10">
        <f>2^(-H24)</f>
        <v/>
      </c>
      <c r="J24" s="2" t="inlineStr">
        <is>
          <t>未知</t>
        </is>
      </c>
    </row>
    <row r="25" ht="24" customHeight="1">
      <c r="A25" s="2" t="inlineStr">
        <is>
          <t>SYN-CHEM-024</t>
        </is>
      </c>
      <c r="B25" s="2" t="inlineStr">
        <is>
          <t>ABA（实验设定）</t>
        </is>
      </c>
      <c r="C25" s="2" t="n">
        <v>12</v>
      </c>
      <c r="D25" s="2" t="n">
        <v>3</v>
      </c>
      <c r="E25" s="9" t="n">
        <v>34.28</v>
      </c>
      <c r="F25" s="9" t="n">
        <v>21.05</v>
      </c>
      <c r="G25" s="9" t="n">
        <v>35</v>
      </c>
      <c r="H25" s="9">
        <f>E25-F25</f>
        <v/>
      </c>
      <c r="I25" s="10">
        <f>2^(-H25)</f>
        <v/>
      </c>
      <c r="J25" s="2" t="inlineStr">
        <is>
          <t>未知</t>
        </is>
      </c>
    </row>
    <row r="26" ht="24" customHeight="1">
      <c r="A26" s="2" t="inlineStr">
        <is>
          <t>SYN-CHEM-025</t>
        </is>
      </c>
      <c r="B26" s="2" t="inlineStr">
        <is>
          <t>ABA（实验设定）</t>
        </is>
      </c>
      <c r="C26" s="2" t="n">
        <v>24</v>
      </c>
      <c r="D26" s="2" t="n">
        <v>1</v>
      </c>
      <c r="E26" s="9" t="n">
        <v>33.91</v>
      </c>
      <c r="F26" s="9" t="n">
        <v>20.95</v>
      </c>
      <c r="G26" s="9" t="n">
        <v>35</v>
      </c>
      <c r="H26" s="9">
        <f>E26-F26</f>
        <v/>
      </c>
      <c r="I26" s="10">
        <f>2^(-H26)</f>
        <v/>
      </c>
      <c r="J26" s="2" t="inlineStr">
        <is>
          <t>未知</t>
        </is>
      </c>
    </row>
    <row r="27" ht="24" customHeight="1">
      <c r="A27" s="2" t="inlineStr">
        <is>
          <t>SYN-CHEM-026</t>
        </is>
      </c>
      <c r="B27" s="2" t="inlineStr">
        <is>
          <t>ABA（实验设定）</t>
        </is>
      </c>
      <c r="C27" s="2" t="n">
        <v>24</v>
      </c>
      <c r="D27" s="2" t="n">
        <v>2</v>
      </c>
      <c r="E27" s="9" t="n">
        <v>34.03</v>
      </c>
      <c r="F27" s="9" t="n">
        <v>21</v>
      </c>
      <c r="G27" s="9" t="n">
        <v>35</v>
      </c>
      <c r="H27" s="9">
        <f>E27-F27</f>
        <v/>
      </c>
      <c r="I27" s="10">
        <f>2^(-H27)</f>
        <v/>
      </c>
      <c r="J27" s="2" t="inlineStr">
        <is>
          <t>未知</t>
        </is>
      </c>
    </row>
    <row r="28" ht="24" customHeight="1">
      <c r="A28" s="2" t="inlineStr">
        <is>
          <t>SYN-CHEM-027</t>
        </is>
      </c>
      <c r="B28" s="2" t="inlineStr">
        <is>
          <t>ABA（实验设定）</t>
        </is>
      </c>
      <c r="C28" s="2" t="n">
        <v>24</v>
      </c>
      <c r="D28" s="2" t="n">
        <v>3</v>
      </c>
      <c r="E28" s="9" t="n">
        <v>34.15</v>
      </c>
      <c r="F28" s="9" t="n">
        <v>21.05</v>
      </c>
      <c r="G28" s="9" t="n">
        <v>35</v>
      </c>
      <c r="H28" s="9">
        <f>E28-F28</f>
        <v/>
      </c>
      <c r="I28" s="10">
        <f>2^(-H28)</f>
        <v/>
      </c>
      <c r="J28" s="2" t="inlineStr">
        <is>
          <t>未知</t>
        </is>
      </c>
    </row>
    <row r="29" ht="24" customHeight="1">
      <c r="A29" s="2" t="inlineStr">
        <is>
          <t>SYN-CHEM-028</t>
        </is>
      </c>
      <c r="B29" s="2" t="inlineStr">
        <is>
          <t>ABA（实验设定）</t>
        </is>
      </c>
      <c r="C29" s="2" t="n">
        <v>48</v>
      </c>
      <c r="D29" s="2" t="n">
        <v>1</v>
      </c>
      <c r="E29" s="9" t="n">
        <v>33.63</v>
      </c>
      <c r="F29" s="9" t="n">
        <v>20.95</v>
      </c>
      <c r="G29" s="9" t="n">
        <v>35</v>
      </c>
      <c r="H29" s="9">
        <f>E29-F29</f>
        <v/>
      </c>
      <c r="I29" s="10">
        <f>2^(-H29)</f>
        <v/>
      </c>
      <c r="J29" s="2" t="inlineStr">
        <is>
          <t>未知</t>
        </is>
      </c>
    </row>
    <row r="30" ht="24" customHeight="1">
      <c r="A30" s="2" t="inlineStr">
        <is>
          <t>SYN-CHEM-029</t>
        </is>
      </c>
      <c r="B30" s="2" t="inlineStr">
        <is>
          <t>ABA（实验设定）</t>
        </is>
      </c>
      <c r="C30" s="2" t="n">
        <v>48</v>
      </c>
      <c r="D30" s="2" t="n">
        <v>2</v>
      </c>
      <c r="E30" s="9" t="n">
        <v>33.75</v>
      </c>
      <c r="F30" s="9" t="n">
        <v>21</v>
      </c>
      <c r="G30" s="9" t="n">
        <v>35</v>
      </c>
      <c r="H30" s="9">
        <f>E30-F30</f>
        <v/>
      </c>
      <c r="I30" s="10">
        <f>2^(-H30)</f>
        <v/>
      </c>
      <c r="J30" s="2" t="inlineStr">
        <is>
          <t>未知</t>
        </is>
      </c>
    </row>
    <row r="31" ht="24" customHeight="1">
      <c r="A31" s="2" t="inlineStr">
        <is>
          <t>SYN-CHEM-030</t>
        </is>
      </c>
      <c r="B31" s="2" t="inlineStr">
        <is>
          <t>ABA（实验设定）</t>
        </is>
      </c>
      <c r="C31" s="2" t="n">
        <v>48</v>
      </c>
      <c r="D31" s="2" t="n">
        <v>3</v>
      </c>
      <c r="E31" s="9" t="n">
        <v>33.87</v>
      </c>
      <c r="F31" s="9" t="n">
        <v>21.05</v>
      </c>
      <c r="G31" s="9" t="n">
        <v>35</v>
      </c>
      <c r="H31" s="9">
        <f>E31-F31</f>
        <v/>
      </c>
      <c r="I31" s="10">
        <f>2^(-H31)</f>
        <v/>
      </c>
      <c r="J31" s="2" t="inlineStr">
        <is>
          <t>未知</t>
        </is>
      </c>
    </row>
    <row r="32" ht="24" customHeight="1">
      <c r="A32" s="2" t="inlineStr">
        <is>
          <t>SYN-CHEM-031</t>
        </is>
      </c>
      <c r="B32" s="2" t="inlineStr">
        <is>
          <t>GZV（实验设定）</t>
        </is>
      </c>
      <c r="C32" s="2" t="n">
        <v>0</v>
      </c>
      <c r="D32" s="2" t="n">
        <v>1</v>
      </c>
      <c r="E32" s="9" t="n">
        <v>33.38</v>
      </c>
      <c r="F32" s="9" t="n">
        <v>20.95</v>
      </c>
      <c r="G32" s="9" t="n">
        <v>35</v>
      </c>
      <c r="H32" s="9">
        <f>E32-F32</f>
        <v/>
      </c>
      <c r="I32" s="10">
        <f>2^(-H32)</f>
        <v/>
      </c>
      <c r="J32" s="2" t="inlineStr">
        <is>
          <t>未知</t>
        </is>
      </c>
    </row>
    <row r="33" ht="24" customHeight="1">
      <c r="A33" s="2" t="inlineStr">
        <is>
          <t>SYN-CHEM-032</t>
        </is>
      </c>
      <c r="B33" s="2" t="inlineStr">
        <is>
          <t>GZV（实验设定）</t>
        </is>
      </c>
      <c r="C33" s="2" t="n">
        <v>0</v>
      </c>
      <c r="D33" s="2" t="n">
        <v>2</v>
      </c>
      <c r="E33" s="9" t="n">
        <v>33.5</v>
      </c>
      <c r="F33" s="9" t="n">
        <v>21</v>
      </c>
      <c r="G33" s="9" t="n">
        <v>35</v>
      </c>
      <c r="H33" s="9">
        <f>E33-F33</f>
        <v/>
      </c>
      <c r="I33" s="10">
        <f>2^(-H33)</f>
        <v/>
      </c>
      <c r="J33" s="2" t="inlineStr">
        <is>
          <t>未知</t>
        </is>
      </c>
    </row>
    <row r="34" ht="24" customHeight="1">
      <c r="A34" s="2" t="inlineStr">
        <is>
          <t>SYN-CHEM-033</t>
        </is>
      </c>
      <c r="B34" s="2" t="inlineStr">
        <is>
          <t>GZV（实验设定）</t>
        </is>
      </c>
      <c r="C34" s="2" t="n">
        <v>0</v>
      </c>
      <c r="D34" s="2" t="n">
        <v>3</v>
      </c>
      <c r="E34" s="9" t="n">
        <v>33.62</v>
      </c>
      <c r="F34" s="9" t="n">
        <v>21.05</v>
      </c>
      <c r="G34" s="9" t="n">
        <v>35</v>
      </c>
      <c r="H34" s="9">
        <f>E34-F34</f>
        <v/>
      </c>
      <c r="I34" s="10">
        <f>2^(-H34)</f>
        <v/>
      </c>
      <c r="J34" s="2" t="inlineStr">
        <is>
          <t>未知</t>
        </is>
      </c>
    </row>
    <row r="35" ht="24" customHeight="1">
      <c r="A35" s="2" t="inlineStr">
        <is>
          <t>SYN-CHEM-034</t>
        </is>
      </c>
      <c r="B35" s="2" t="inlineStr">
        <is>
          <t>GZV（实验设定）</t>
        </is>
      </c>
      <c r="C35" s="2" t="n">
        <v>6</v>
      </c>
      <c r="D35" s="2" t="n">
        <v>1</v>
      </c>
      <c r="E35" s="9" t="n">
        <v>33.31</v>
      </c>
      <c r="F35" s="9" t="n">
        <v>20.95</v>
      </c>
      <c r="G35" s="9" t="n">
        <v>35</v>
      </c>
      <c r="H35" s="9">
        <f>E35-F35</f>
        <v/>
      </c>
      <c r="I35" s="10">
        <f>2^(-H35)</f>
        <v/>
      </c>
      <c r="J35" s="2" t="inlineStr">
        <is>
          <t>未知</t>
        </is>
      </c>
    </row>
    <row r="36" ht="24" customHeight="1">
      <c r="A36" s="2" t="inlineStr">
        <is>
          <t>SYN-CHEM-035</t>
        </is>
      </c>
      <c r="B36" s="2" t="inlineStr">
        <is>
          <t>GZV（实验设定）</t>
        </is>
      </c>
      <c r="C36" s="2" t="n">
        <v>6</v>
      </c>
      <c r="D36" s="2" t="n">
        <v>2</v>
      </c>
      <c r="E36" s="9" t="n">
        <v>33.43</v>
      </c>
      <c r="F36" s="9" t="n">
        <v>21</v>
      </c>
      <c r="G36" s="9" t="n">
        <v>35</v>
      </c>
      <c r="H36" s="9">
        <f>E36-F36</f>
        <v/>
      </c>
      <c r="I36" s="10">
        <f>2^(-H36)</f>
        <v/>
      </c>
      <c r="J36" s="2" t="inlineStr">
        <is>
          <t>未知</t>
        </is>
      </c>
    </row>
    <row r="37" ht="24" customHeight="1">
      <c r="A37" s="2" t="inlineStr">
        <is>
          <t>SYN-CHEM-036</t>
        </is>
      </c>
      <c r="B37" s="2" t="inlineStr">
        <is>
          <t>GZV（实验设定）</t>
        </is>
      </c>
      <c r="C37" s="2" t="n">
        <v>6</v>
      </c>
      <c r="D37" s="2" t="n">
        <v>3</v>
      </c>
      <c r="E37" s="9" t="n">
        <v>33.55</v>
      </c>
      <c r="F37" s="9" t="n">
        <v>21.05</v>
      </c>
      <c r="G37" s="9" t="n">
        <v>35</v>
      </c>
      <c r="H37" s="9">
        <f>E37-F37</f>
        <v/>
      </c>
      <c r="I37" s="10">
        <f>2^(-H37)</f>
        <v/>
      </c>
      <c r="J37" s="2" t="inlineStr">
        <is>
          <t>未知</t>
        </is>
      </c>
    </row>
    <row r="38" ht="24" customHeight="1">
      <c r="A38" s="2" t="inlineStr">
        <is>
          <t>SYN-CHEM-037</t>
        </is>
      </c>
      <c r="B38" s="2" t="inlineStr">
        <is>
          <t>GZV（实验设定）</t>
        </is>
      </c>
      <c r="C38" s="2" t="n">
        <v>12</v>
      </c>
      <c r="D38" s="2" t="n">
        <v>1</v>
      </c>
      <c r="E38" s="9" t="n">
        <v>33.24</v>
      </c>
      <c r="F38" s="9" t="n">
        <v>20.95</v>
      </c>
      <c r="G38" s="9" t="n">
        <v>35</v>
      </c>
      <c r="H38" s="9">
        <f>E38-F38</f>
        <v/>
      </c>
      <c r="I38" s="10">
        <f>2^(-H38)</f>
        <v/>
      </c>
      <c r="J38" s="2" t="inlineStr">
        <is>
          <t>未知</t>
        </is>
      </c>
    </row>
    <row r="39" ht="24" customHeight="1">
      <c r="A39" s="2" t="inlineStr">
        <is>
          <t>SYN-CHEM-038</t>
        </is>
      </c>
      <c r="B39" s="2" t="inlineStr">
        <is>
          <t>GZV（实验设定）</t>
        </is>
      </c>
      <c r="C39" s="2" t="n">
        <v>12</v>
      </c>
      <c r="D39" s="2" t="n">
        <v>2</v>
      </c>
      <c r="E39" s="9" t="n">
        <v>33.36</v>
      </c>
      <c r="F39" s="9" t="n">
        <v>21</v>
      </c>
      <c r="G39" s="9" t="n">
        <v>35</v>
      </c>
      <c r="H39" s="9">
        <f>E39-F39</f>
        <v/>
      </c>
      <c r="I39" s="10">
        <f>2^(-H39)</f>
        <v/>
      </c>
      <c r="J39" s="2" t="inlineStr">
        <is>
          <t>未知</t>
        </is>
      </c>
    </row>
    <row r="40" ht="24" customHeight="1">
      <c r="A40" s="2" t="inlineStr">
        <is>
          <t>SYN-CHEM-039</t>
        </is>
      </c>
      <c r="B40" s="2" t="inlineStr">
        <is>
          <t>GZV（实验设定）</t>
        </is>
      </c>
      <c r="C40" s="2" t="n">
        <v>12</v>
      </c>
      <c r="D40" s="2" t="n">
        <v>3</v>
      </c>
      <c r="E40" s="9" t="n">
        <v>33.48</v>
      </c>
      <c r="F40" s="9" t="n">
        <v>21.05</v>
      </c>
      <c r="G40" s="9" t="n">
        <v>35</v>
      </c>
      <c r="H40" s="9">
        <f>E40-F40</f>
        <v/>
      </c>
      <c r="I40" s="10">
        <f>2^(-H40)</f>
        <v/>
      </c>
      <c r="J40" s="2" t="inlineStr">
        <is>
          <t>未知</t>
        </is>
      </c>
    </row>
    <row r="41" ht="24" customHeight="1">
      <c r="A41" s="2" t="inlineStr">
        <is>
          <t>SYN-CHEM-040</t>
        </is>
      </c>
      <c r="B41" s="2" t="inlineStr">
        <is>
          <t>GZV（实验设定）</t>
        </is>
      </c>
      <c r="C41" s="2" t="n">
        <v>24</v>
      </c>
      <c r="D41" s="2" t="n">
        <v>1</v>
      </c>
      <c r="E41" s="9" t="n">
        <v>33.11</v>
      </c>
      <c r="F41" s="9" t="n">
        <v>20.95</v>
      </c>
      <c r="G41" s="9" t="n">
        <v>35</v>
      </c>
      <c r="H41" s="9">
        <f>E41-F41</f>
        <v/>
      </c>
      <c r="I41" s="10">
        <f>2^(-H41)</f>
        <v/>
      </c>
      <c r="J41" s="2" t="inlineStr">
        <is>
          <t>未知</t>
        </is>
      </c>
    </row>
    <row r="42" ht="24" customHeight="1">
      <c r="A42" s="2" t="inlineStr">
        <is>
          <t>SYN-CHEM-041</t>
        </is>
      </c>
      <c r="B42" s="2" t="inlineStr">
        <is>
          <t>GZV（实验设定）</t>
        </is>
      </c>
      <c r="C42" s="2" t="n">
        <v>24</v>
      </c>
      <c r="D42" s="2" t="n">
        <v>2</v>
      </c>
      <c r="E42" s="9" t="n">
        <v>33.23</v>
      </c>
      <c r="F42" s="9" t="n">
        <v>21</v>
      </c>
      <c r="G42" s="9" t="n">
        <v>35</v>
      </c>
      <c r="H42" s="9">
        <f>E42-F42</f>
        <v/>
      </c>
      <c r="I42" s="10">
        <f>2^(-H42)</f>
        <v/>
      </c>
      <c r="J42" s="2" t="inlineStr">
        <is>
          <t>未知</t>
        </is>
      </c>
    </row>
    <row r="43" ht="24" customHeight="1">
      <c r="A43" s="2" t="inlineStr">
        <is>
          <t>SYN-CHEM-042</t>
        </is>
      </c>
      <c r="B43" s="2" t="inlineStr">
        <is>
          <t>GZV（实验设定）</t>
        </is>
      </c>
      <c r="C43" s="2" t="n">
        <v>24</v>
      </c>
      <c r="D43" s="2" t="n">
        <v>3</v>
      </c>
      <c r="E43" s="9" t="n">
        <v>33.34</v>
      </c>
      <c r="F43" s="9" t="n">
        <v>21.05</v>
      </c>
      <c r="G43" s="9" t="n">
        <v>35</v>
      </c>
      <c r="H43" s="9">
        <f>E43-F43</f>
        <v/>
      </c>
      <c r="I43" s="10">
        <f>2^(-H43)</f>
        <v/>
      </c>
      <c r="J43" s="2" t="inlineStr">
        <is>
          <t>未知</t>
        </is>
      </c>
    </row>
    <row r="44" ht="24" customHeight="1">
      <c r="A44" s="2" t="inlineStr">
        <is>
          <t>SYN-CHEM-043</t>
        </is>
      </c>
      <c r="B44" s="2" t="inlineStr">
        <is>
          <t>GZV（实验设定）</t>
        </is>
      </c>
      <c r="C44" s="2" t="n">
        <v>48</v>
      </c>
      <c r="D44" s="2" t="n">
        <v>1</v>
      </c>
      <c r="E44" s="9" t="n">
        <v>32.83</v>
      </c>
      <c r="F44" s="9" t="n">
        <v>20.95</v>
      </c>
      <c r="G44" s="9" t="n">
        <v>35</v>
      </c>
      <c r="H44" s="9">
        <f>E44-F44</f>
        <v/>
      </c>
      <c r="I44" s="10">
        <f>2^(-H44)</f>
        <v/>
      </c>
      <c r="J44" s="2" t="inlineStr">
        <is>
          <t>未知</t>
        </is>
      </c>
    </row>
    <row r="45" ht="24" customHeight="1">
      <c r="A45" s="2" t="inlineStr">
        <is>
          <t>SYN-CHEM-044</t>
        </is>
      </c>
      <c r="B45" s="2" t="inlineStr">
        <is>
          <t>GZV（实验设定）</t>
        </is>
      </c>
      <c r="C45" s="2" t="n">
        <v>48</v>
      </c>
      <c r="D45" s="2" t="n">
        <v>2</v>
      </c>
      <c r="E45" s="9" t="n">
        <v>32.95</v>
      </c>
      <c r="F45" s="9" t="n">
        <v>21</v>
      </c>
      <c r="G45" s="9" t="n">
        <v>35</v>
      </c>
      <c r="H45" s="9">
        <f>E45-F45</f>
        <v/>
      </c>
      <c r="I45" s="10">
        <f>2^(-H45)</f>
        <v/>
      </c>
      <c r="J45" s="2" t="inlineStr">
        <is>
          <t>未知</t>
        </is>
      </c>
    </row>
    <row r="46" ht="24" customHeight="1">
      <c r="A46" s="2" t="inlineStr">
        <is>
          <t>SYN-CHEM-045</t>
        </is>
      </c>
      <c r="B46" s="2" t="inlineStr">
        <is>
          <t>GZV（实验设定）</t>
        </is>
      </c>
      <c r="C46" s="2" t="n">
        <v>48</v>
      </c>
      <c r="D46" s="2" t="n">
        <v>3</v>
      </c>
      <c r="E46" s="9" t="n">
        <v>33.07</v>
      </c>
      <c r="F46" s="9" t="n">
        <v>21.05</v>
      </c>
      <c r="G46" s="9" t="n">
        <v>35</v>
      </c>
      <c r="H46" s="9">
        <f>E46-F46</f>
        <v/>
      </c>
      <c r="I46" s="10">
        <f>2^(-H46)</f>
        <v/>
      </c>
      <c r="J46" s="2" t="inlineStr">
        <is>
          <t>未知</t>
        </is>
      </c>
    </row>
  </sheetData>
  <pageMargins left="0.25" right="0.25" top="0.35" bottom="0.3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3" customWidth="1" min="2" max="2"/>
  </cols>
  <sheetData>
    <row r="1" ht="36" customHeight="1">
      <c r="A1" s="5" t="inlineStr">
        <is>
          <t>项目</t>
        </is>
      </c>
      <c r="B1" s="5" t="inlineStr">
        <is>
          <t>说明</t>
        </is>
      </c>
    </row>
    <row r="2" ht="45" customHeight="1">
      <c r="A2" s="2" t="inlineStr">
        <is>
          <t>身份</t>
        </is>
      </c>
      <c r="B2" s="8" t="inlineStr">
        <is>
          <t>实验合成操作素材，非原论文测量；不是对重复、倍数关系、35上限因果或论文结论的认证。</t>
        </is>
      </c>
    </row>
    <row r="3" ht="45" customHeight="1">
      <c r="A3" s="2" t="inlineStr">
        <is>
          <t>原文件名日期</t>
        </is>
      </c>
      <c r="B3" s="8" t="inlineStr">
        <is>
          <t>仅保留20221110/20221130文件名；未认证真实实验日期</t>
        </is>
      </c>
    </row>
    <row r="4" ht="45" customHeight="1">
      <c r="A4" s="2" t="inlineStr">
        <is>
          <t>处理与浓度</t>
        </is>
      </c>
      <c r="B4" s="8" t="inlineStr">
        <is>
          <t>处理名称来自上传文件名；原浓度、细胞、参考基因身份未知，浓度不填造</t>
        </is>
      </c>
    </row>
    <row r="5" ht="45" customHeight="1">
      <c r="A5" s="2" t="inlineStr">
        <is>
          <t>单位</t>
        </is>
      </c>
      <c r="B5" s="8" t="inlineStr">
        <is>
          <t>时间为小时h；Ct为循环数；相对表达为无量纲</t>
        </is>
      </c>
    </row>
    <row r="6" ht="45" customHeight="1">
      <c r="A6" s="2" t="inlineStr">
        <is>
          <t>观察单位</t>
        </is>
      </c>
      <c r="B6" s="8" t="inlineStr">
        <is>
          <t>各处理×时间×三次实验重复；三次重复仅为实验设定</t>
        </is>
      </c>
    </row>
    <row r="7" ht="45" customHeight="1">
      <c r="A7" s="2" t="inlineStr">
        <is>
          <t>原论文图号</t>
        </is>
      </c>
      <c r="B7" s="8" t="inlineStr">
        <is>
          <t>所有原图号未知；不能用模拟记录填补原4d/5k证据</t>
        </is>
      </c>
    </row>
    <row r="8" ht="45" customHeight="1">
      <c r="A8" s="2" t="inlineStr">
        <is>
          <t>数值来源</t>
        </is>
      </c>
      <c r="B8" s="8" t="inlineStr">
        <is>
          <t>固定规则合成数值，不是原作者测量</t>
        </is>
      </c>
    </row>
    <row r="9" ht="45" customHeight="1">
      <c r="A9" s="2" t="inlineStr">
        <is>
          <t>阈值</t>
        </is>
      </c>
      <c r="B9" s="8" t="inlineStr">
        <is>
          <t>35仅来自首轮用户表述，模拟设定不证明原异常原因</t>
        </is>
      </c>
    </row>
  </sheetData>
  <pageMargins left="0.25" right="0.25" top="0.35" bottom="0.35" header="0.3" footer="0.3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2026-10-08T15:06:15Z</dcterms:created>
  <dcterms:modified xmlns:dcterms="http://purl.org/dc/terms/" xmlns:xsi="http://www.w3.org/2001/XMLSchema-instance" xsi:type="dcterms:W3CDTF">2026-10-08T15:06:15Z</dcterms:modified>
</cp:coreProperties>
</file>