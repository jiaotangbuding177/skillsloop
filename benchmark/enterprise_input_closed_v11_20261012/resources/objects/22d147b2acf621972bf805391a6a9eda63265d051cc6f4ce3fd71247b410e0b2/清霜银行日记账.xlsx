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c1daa98bb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流水" sheetId="1" r:id="Ra8cc7798b3f0495f"/>
    <x:sheet xmlns:r="http://schemas.openxmlformats.org/officeDocument/2006/relationships" name="材料说明" sheetId="2" r:id="R737e2ee13460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c4c1049044bbd" /><Relationship Type="http://schemas.openxmlformats.org/officeDocument/2006/relationships/theme" Target="/xl/theme/theme1.xml" Id="R2add8a4bf1604cc0" /><Relationship Type="http://schemas.openxmlformats.org/officeDocument/2006/relationships/sharedStrings" Target="/xl/sharedStrings.xml" Id="Rc1178b1e9603472d" /><Relationship Type="http://schemas.openxmlformats.org/officeDocument/2006/relationships/worksheet" Target="/xl/worksheets/sheet1.xml" Id="Ra8cc7798b3f0495f" /><Relationship Type="http://schemas.openxmlformats.org/officeDocument/2006/relationships/worksheet" Target="/xl/worksheets/sheet2.xml" Id="R737e2ee1346041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8" customHeight="1">
      <x:c r="A1" s="6" t="str">
        <x:v>交易编号</x:v>
      </x:c>
      <x:c r="B1" s="6" t="str">
        <x:v>日期</x:v>
      </x:c>
      <x:c r="C1" s="6" t="str">
        <x:v>账户主体</x:v>
      </x:c>
      <x:c r="D1" s="6" t="str">
        <x:v>对方名称</x:v>
      </x:c>
      <x:c r="E1" s="6" t="str">
        <x:v>摘要</x:v>
      </x:c>
      <x:c r="F1" s="6" t="str">
        <x:v>收款元</x:v>
      </x:c>
      <x:c r="G1" s="6" t="str">
        <x:v>付款元</x:v>
      </x:c>
      <x:c r="H1" s="6" t="str">
        <x:v>余额元</x:v>
      </x:c>
      <x:c r="I1" s="6" t="str">
        <x:v>协议编号</x:v>
      </x:c>
    </x:row>
    <x:row r="2" ht="48" customHeight="1">
      <x:c r="A2" s="4" t="str">
        <x:v>OPEN</x:v>
      </x:c>
      <x:c r="B2" s="4" t="str">
        <x:v>2026-04-01</x:v>
      </x:c>
      <x:c r="C2" s="4" t="str">
        <x:v>清霜</x:v>
      </x:c>
      <x:c r="D2" s="4" t="str">
        <x:v>期初</x:v>
      </x:c>
      <x:c r="E2" s="4" t="str">
        <x:v>期初余额</x:v>
      </x:c>
      <x:c r="F2" s="4" t="n">
        <x:v>0</x:v>
      </x:c>
      <x:c r="G2" s="4" t="n">
        <x:v>0</x:v>
      </x:c>
      <x:c r="H2" s="4" t="n">
        <x:v>100000</x:v>
      </x:c>
      <x:c r="I2" s="4" t="str"/>
    </x:row>
    <x:row r="3" ht="48" customHeight="1">
      <x:c r="A3" s="4" t="str">
        <x:v>T01</x:v>
      </x:c>
      <x:c r="B3" s="4" t="str">
        <x:v>2026-04-07</x:v>
      </x:c>
      <x:c r="C3" s="4" t="str">
        <x:v>清霜</x:v>
      </x:c>
      <x:c r="D3" s="4" t="str">
        <x:v>玉环沙门</x:v>
      </x:c>
      <x:c r="E3" s="4" t="str">
        <x:v>股权转让第一笔收款</x:v>
      </x:c>
      <x:c r="F3" s="4" t="n">
        <x:v>300000</x:v>
      </x:c>
      <x:c r="G3" s="4" t="n">
        <x:v>0</x:v>
      </x:c>
      <x:c r="H3" s="4" t="n">
        <x:f>H2+F3-G3</x:f>
        <x:v>400000</x:v>
      </x:c>
      <x:c r="I3" s="4" t="str">
        <x:v>EQ-实验-清霜</x:v>
      </x:c>
    </x:row>
    <x:row r="4" ht="48" customHeight="1">
      <x:c r="A4" s="4" t="str">
        <x:v>T02</x:v>
      </x:c>
      <x:c r="B4" s="4" t="str">
        <x:v>2026-04-10</x:v>
      </x:c>
      <x:c r="C4" s="4" t="str">
        <x:v>清霜</x:v>
      </x:c>
      <x:c r="D4" s="4" t="str">
        <x:v>实验银行</x:v>
      </x:c>
      <x:c r="E4" s="4" t="str">
        <x:v>手续费</x:v>
      </x:c>
      <x:c r="F4" s="4" t="n">
        <x:v>0</x:v>
      </x:c>
      <x:c r="G4" s="4" t="n">
        <x:v>1000</x:v>
      </x:c>
      <x:c r="H4" s="4" t="n">
        <x:f>H3+F4-G4</x:f>
        <x:v>399000</x:v>
      </x:c>
      <x:c r="I4" s="4" t="str"/>
    </x:row>
    <x:row r="5" ht="48" customHeight="1">
      <x:c r="A5" s="4" t="str">
        <x:v>T03</x:v>
      </x:c>
      <x:c r="B5" s="4" t="str">
        <x:v>2026-04-30</x:v>
      </x:c>
      <x:c r="C5" s="4" t="str">
        <x:v>清霜</x:v>
      </x:c>
      <x:c r="D5" s="4" t="str">
        <x:v>玉环沙门</x:v>
      </x:c>
      <x:c r="E5" s="4" t="str">
        <x:v>股权转让尾款</x:v>
      </x:c>
      <x:c r="F5" s="4" t="n">
        <x:v>300000</x:v>
      </x:c>
      <x:c r="G5" s="4" t="n">
        <x:v>0</x:v>
      </x:c>
      <x:c r="H5" s="4" t="n">
        <x:f>H4+F5-G5</x:f>
        <x:v>699000</x:v>
      </x:c>
      <x:c r="I5" s="4" t="str">
        <x:v>EQ-实验-清霜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本来源conv_fbc466c9dfb1独立实验合成，非真实业务数值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