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de47ed259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5年度现金流汇总" sheetId="1" r:id="Rdc2f94e5ea58491a"/>
    <x:sheet xmlns:r="http://schemas.openxmlformats.org/officeDocument/2006/relationships" name="银行日记账" sheetId="2" r:id="R56e5fb8ec26a4d2d"/>
    <x:sheet xmlns:r="http://schemas.openxmlformats.org/officeDocument/2006/relationships" name="材料说明" sheetId="3" r:id="R3c8ae705b46c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8000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7444622014554" /><Relationship Type="http://schemas.openxmlformats.org/officeDocument/2006/relationships/theme" Target="/xl/theme/theme1.xml" Id="Rb3585fdc4d584b70" /><Relationship Type="http://schemas.openxmlformats.org/officeDocument/2006/relationships/sharedStrings" Target="/xl/sharedStrings.xml" Id="R4778329f0d3e40e2" /><Relationship Type="http://schemas.openxmlformats.org/officeDocument/2006/relationships/worksheet" Target="/xl/worksheets/sheet1.xml" Id="Rdc2f94e5ea58491a" /><Relationship Type="http://schemas.openxmlformats.org/officeDocument/2006/relationships/worksheet" Target="/xl/worksheets/sheet2.xml" Id="R56e5fb8ec26a4d2d" /><Relationship Type="http://schemas.openxmlformats.org/officeDocument/2006/relationships/worksheet" Target="/xl/worksheets/sheet3.xml" Id="R3c8ae705b46c4d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0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现金流类别</x:v>
      </x:c>
      <x:c r="B1" s="4" t="str">
        <x:v>项目名称</x:v>
      </x:c>
      <x:c r="C1" s="4" t="str">
        <x:v>金额（元）</x:v>
      </x:c>
      <x:c r="D1" s="4" t="str">
        <x:v>开始日期</x:v>
      </x:c>
      <x:c r="E1" s="4" t="str">
        <x:v>结束日期</x:v>
      </x:c>
    </x:row>
    <x:row r="2" ht="25" customHeight="1">
      <x:c r="A2" s="2" t="str">
        <x:v>经营收入</x:v>
      </x:c>
      <x:c r="B2" s="2" t="str">
        <x:v>产品销售</x:v>
      </x:c>
      <x:c r="C2" s="7" t="n">
        <x:f>SUMIFS('银行日记账'!F$2:F$17,'银行日记账'!H$2:H$17,A2,'银行日记账'!I$2:I$17,B2,'银行日记账'!B$2:B$17,"&gt;="&amp;D2,'银行日记账'!B$2:B$17,"&lt;="&amp;E2)</x:f>
        <x:v>210000</x:v>
      </x:c>
      <x:c r="D2" s="5" t="n">
        <x:v>45876</x:v>
      </x:c>
      <x:c r="E2" s="5" t="n">
        <x:v>46012</x:v>
      </x:c>
    </x:row>
    <x:row r="3" ht="25" customHeight="1">
      <x:c r="A3" s="2" t="str">
        <x:v>经营收入</x:v>
      </x:c>
      <x:c r="B3" s="2" t="str">
        <x:v>补贴</x:v>
      </x:c>
      <x:c r="C3" s="7" t="n">
        <x:f>SUMIFS('银行日记账'!F$2:F$17,'银行日记账'!H$2:H$17,A3,'银行日记账'!I$2:I$17,B3,'银行日记账'!B$2:B$17,"&gt;="&amp;D3,'银行日记账'!B$2:B$17,"&lt;="&amp;E3)</x:f>
        <x:v>0</x:v>
      </x:c>
      <x:c r="D3" s="5" t="n">
        <x:v>45876</x:v>
      </x:c>
      <x:c r="E3" s="5" t="n">
        <x:v>46012</x:v>
      </x:c>
    </x:row>
    <x:row r="4" ht="25" customHeight="1">
      <x:c r="A4" s="2" t="str">
        <x:v>经营性流出</x:v>
      </x:c>
      <x:c r="B4" s="2" t="str">
        <x:v>原料采购</x:v>
      </x:c>
      <x:c r="C4" s="7" t="n">
        <x:f>SUMIFS('银行日记账'!G$2:G$17,'银行日记账'!H$2:H$17,A4,'银行日记账'!I$2:I$17,B4,'银行日记账'!B$2:B$17,"&gt;="&amp;D4,'银行日记账'!B$2:B$17,"&lt;="&amp;E4)</x:f>
        <x:v>24000</x:v>
      </x:c>
      <x:c r="D4" s="5" t="n">
        <x:v>45876</x:v>
      </x:c>
      <x:c r="E4" s="5" t="n">
        <x:v>46012</x:v>
      </x:c>
    </x:row>
    <x:row r="5" ht="25" customHeight="1">
      <x:c r="A5" s="2" t="str">
        <x:v>经营性流出</x:v>
      </x:c>
      <x:c r="B5" s="2" t="str">
        <x:v>租赁费</x:v>
      </x:c>
      <x:c r="C5" s="7" t="n">
        <x:f>SUMIFS('银行日记账'!G$2:G$17,'银行日记账'!H$2:H$17,A5,'银行日记账'!I$2:I$17,B5,'银行日记账'!B$2:B$17,"&gt;="&amp;D5,'银行日记账'!B$2:B$17,"&lt;="&amp;E5)</x:f>
        <x:v>12000</x:v>
      </x:c>
      <x:c r="D5" s="5" t="n">
        <x:v>45876</x:v>
      </x:c>
      <x:c r="E5" s="5" t="n">
        <x:v>46012</x:v>
      </x:c>
    </x:row>
    <x:row r="6" ht="25" customHeight="1">
      <x:c r="A6" s="2" t="str">
        <x:v>经营性流出</x:v>
      </x:c>
      <x:c r="B6" s="2" t="str">
        <x:v>服务费</x:v>
      </x:c>
      <x:c r="C6" s="7" t="n">
        <x:f>SUMIFS('银行日记账'!G$2:G$17,'银行日记账'!H$2:H$17,A6,'银行日记账'!I$2:I$17,B6,'银行日记账'!B$2:B$17,"&gt;="&amp;D6,'银行日记账'!B$2:B$17,"&lt;="&amp;E6)</x:f>
        <x:v>0</x:v>
      </x:c>
      <x:c r="D6" s="5" t="n">
        <x:v>45876</x:v>
      </x:c>
      <x:c r="E6" s="5" t="n">
        <x:v>46012</x:v>
      </x:c>
    </x:row>
    <x:row r="7" ht="25" customHeight="1">
      <x:c r="A7" s="2" t="str">
        <x:v>员工报销</x:v>
      </x:c>
      <x:c r="B7" s="2" t="str">
        <x:v>差旅报销</x:v>
      </x:c>
      <x:c r="C7" s="7" t="n">
        <x:f>SUMIFS('银行日记账'!G$2:G$17,'银行日记账'!H$2:H$17,A7,'银行日记账'!I$2:I$17,B7,'银行日记账'!B$2:B$17,"&gt;="&amp;D7,'银行日记账'!B$2:B$17,"&lt;="&amp;E7)</x:f>
        <x:v>3500</x:v>
      </x:c>
      <x:c r="D7" s="5" t="n">
        <x:v>45876</x:v>
      </x:c>
      <x:c r="E7" s="5" t="n">
        <x:v>46012</x:v>
      </x:c>
    </x:row>
    <x:row r="8" ht="25" customHeight="1">
      <x:c r="A8" s="2" t="str">
        <x:v>员工报销</x:v>
      </x:c>
      <x:c r="B8" s="2" t="str">
        <x:v>备用金</x:v>
      </x:c>
      <x:c r="C8" s="7" t="n">
        <x:f>SUMIFS('银行日记账'!G$2:G$17,'银行日记账'!H$2:H$17,A8,'银行日记账'!I$2:I$17,B8,'银行日记账'!B$2:B$17,"&gt;="&amp;D8,'银行日记账'!B$2:B$17,"&lt;="&amp;E8)</x:f>
        <x:v>0</x:v>
      </x:c>
      <x:c r="D8" s="5" t="n">
        <x:v>45876</x:v>
      </x:c>
      <x:c r="E8" s="5" t="n">
        <x:v>46012</x:v>
      </x:c>
    </x:row>
    <x:row r="9" ht="25" customHeight="1">
      <x:c r="A9" s="2" t="str">
        <x:v>经营收入合计</x:v>
      </x:c>
      <x:c r="B9" s="2" t="str"/>
      <x:c r="C9" s="7" t="n">
        <x:f>SUMIF(A2:A8,"经营收入",C2:C8)</x:f>
        <x:v>210000</x:v>
      </x:c>
      <x:c r="D9" s="5"/>
      <x:c r="E9" s="5"/>
    </x:row>
    <x:row r="10" ht="25" customHeight="1">
      <x:c r="A10" s="2" t="str">
        <x:v>支出合计</x:v>
      </x:c>
      <x:c r="B10" s="2" t="str"/>
      <x:c r="C10" s="7" t="n">
        <x:f>SUM(C2:C8)-C9</x:f>
        <x:v>39500</x:v>
      </x:c>
      <x:c r="D10" s="5"/>
      <x:c r="E10" s="5"/>
    </x:row>
    <x:row r="11" ht="25" customHeight="1">
      <x:c r="A11" s="2" t="str">
        <x:v>净现金流</x:v>
      </x:c>
      <x:c r="B11" s="2" t="str"/>
      <x:c r="C11" s="7" t="n">
        <x:f>C9-C10</x:f>
        <x:v>170500</x:v>
      </x:c>
      <x:c r="D11" s="5"/>
      <x:c r="E1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65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62" hidden="0" customWidth="1"/>
    <x:col min="10" max="10" width="58" hidden="0" customWidth="1"/>
  </x:cols>
  <x:sheetData>
    <x:row r="1" ht="42" customHeight="1">
      <x:c r="A1" s="4" t="str">
        <x:v>流水ID</x:v>
      </x:c>
      <x:c r="B1" s="4" t="str">
        <x:v>发生日期</x:v>
      </x:c>
      <x:c r="C1" s="4" t="str">
        <x:v>公司</x:v>
      </x:c>
      <x:c r="D1" s="4" t="str">
        <x:v>摘要</x:v>
      </x:c>
      <x:c r="E1" s="4" t="str">
        <x:v>对方名称</x:v>
      </x:c>
      <x:c r="F1" s="4" t="str">
        <x:v>收入（元）</x:v>
      </x:c>
      <x:c r="G1" s="4" t="str">
        <x:v>支出（元）</x:v>
      </x:c>
      <x:c r="H1" s="4" t="str">
        <x:v>现金流类别</x:v>
      </x:c>
      <x:c r="I1" s="4" t="str">
        <x:v>项目名称</x:v>
      </x:c>
      <x:c r="J1" s="4" t="str">
        <x:v>数据性质</x:v>
      </x:c>
    </x:row>
    <x:row r="2" ht="25" customHeight="1">
      <x:c r="A2" s="2" t="str">
        <x:v>HSJ001</x:v>
      </x:c>
      <x:c r="B2" s="5" t="n">
        <x:v>45875</x:v>
      </x:c>
      <x:c r="C2" s="2" t="str">
        <x:v>合生纪</x:v>
      </x:c>
      <x:c r="D2" s="2" t="str">
        <x:v>产品销售收款</x:v>
      </x:c>
      <x:c r="E2" s="2" t="str">
        <x:v>实验往来单位</x:v>
      </x:c>
      <x:c r="F2" s="8" t="n">
        <x:v>9000</x:v>
      </x:c>
      <x:c r="G2" s="8" t="n">
        <x:v>0</x:v>
      </x:c>
      <x:c r="H2" s="2" t="str">
        <x:v>经营收入</x:v>
      </x:c>
      <x:c r="I2" s="2" t="str">
        <x:v>产品销售</x:v>
      </x:c>
      <x:c r="J2" s="2" t="str">
        <x:v>实验合成金额和日期；明确摘要要求保持原文</x:v>
      </x:c>
    </x:row>
    <x:row r="3" ht="25" customHeight="1">
      <x:c r="A3" s="2" t="str">
        <x:v>HSJ002</x:v>
      </x:c>
      <x:c r="B3" s="5" t="n">
        <x:v>45876</x:v>
      </x:c>
      <x:c r="C3" s="2" t="str">
        <x:v>合生纪</x:v>
      </x:c>
      <x:c r="D3" s="2" t="str">
        <x:v>产品销售收款</x:v>
      </x:c>
      <x:c r="E3" s="2" t="str">
        <x:v>实验往来单位</x:v>
      </x:c>
      <x:c r="F3" s="8" t="n">
        <x:v>120000</x:v>
      </x:c>
      <x:c r="G3" s="8" t="n">
        <x:v>0</x:v>
      </x:c>
      <x:c r="H3" s="2" t="str">
        <x:v>经营收入</x:v>
      </x:c>
      <x:c r="I3" s="2" t="str">
        <x:v>产品销售</x:v>
      </x:c>
      <x:c r="J3" s="2" t="str">
        <x:v>实验合成金额和日期；明确摘要要求保持原文</x:v>
      </x:c>
    </x:row>
    <x:row r="4" ht="25" customHeight="1">
      <x:c r="A4" s="2" t="str">
        <x:v>HSJ003</x:v>
      </x:c>
      <x:c r="B4" s="5" t="n">
        <x:v>45889</x:v>
      </x:c>
      <x:c r="C4" s="2" t="str">
        <x:v>合生纪</x:v>
      </x:c>
      <x:c r="D4" s="2" t="str">
        <x:v>采购原料</x:v>
      </x:c>
      <x:c r="E4" s="2" t="str">
        <x:v>实验往来单位</x:v>
      </x:c>
      <x:c r="F4" s="8" t="n">
        <x:v>0</x:v>
      </x:c>
      <x:c r="G4" s="8" t="n">
        <x:v>24000</x:v>
      </x:c>
      <x:c r="H4" s="2" t="str">
        <x:v>经营性流出</x:v>
      </x:c>
      <x:c r="I4" s="2" t="str">
        <x:v>原料采购</x:v>
      </x:c>
      <x:c r="J4" s="2" t="str">
        <x:v>实验合成金额和日期；明确摘要要求保持原文</x:v>
      </x:c>
    </x:row>
    <x:row r="5" ht="25" customHeight="1">
      <x:c r="A5" s="2" t="str">
        <x:v>HSJ004</x:v>
      </x:c>
      <x:c r="B5" s="5" t="n">
        <x:v>45915</x:v>
      </x:c>
      <x:c r="C5" s="2" t="str">
        <x:v>合生纪</x:v>
      </x:c>
      <x:c r="D5" s="2" t="str">
        <x:v>员工差旅报销</x:v>
      </x:c>
      <x:c r="E5" s="2" t="str">
        <x:v>实验往来单位</x:v>
      </x:c>
      <x:c r="F5" s="8" t="n">
        <x:v>0</x:v>
      </x:c>
      <x:c r="G5" s="8" t="n">
        <x:v>3500</x:v>
      </x:c>
      <x:c r="H5" s="2" t="str">
        <x:v>员工报销</x:v>
      </x:c>
      <x:c r="I5" s="2" t="str">
        <x:v>差旅报销</x:v>
      </x:c>
      <x:c r="J5" s="2" t="str">
        <x:v>实验合成金额和日期；明确摘要要求保持原文</x:v>
      </x:c>
    </x:row>
    <x:row r="6" ht="25" customHeight="1">
      <x:c r="A6" s="2" t="str">
        <x:v>HSJ005</x:v>
      </x:c>
      <x:c r="B6" s="5" t="n">
        <x:v>45945</x:v>
      </x:c>
      <x:c r="C6" s="2" t="str">
        <x:v>合生纪</x:v>
      </x:c>
      <x:c r="D6" s="2" t="str">
        <x:v>产品销售收款</x:v>
      </x:c>
      <x:c r="E6" s="2" t="str">
        <x:v>实验往来单位</x:v>
      </x:c>
      <x:c r="F6" s="8" t="n">
        <x:v>60000</x:v>
      </x:c>
      <x:c r="G6" s="8" t="n">
        <x:v>0</x:v>
      </x:c>
      <x:c r="H6" s="2" t="str">
        <x:v>经营收入</x:v>
      </x:c>
      <x:c r="I6" s="2" t="str">
        <x:v>产品销售</x:v>
      </x:c>
      <x:c r="J6" s="2" t="str">
        <x:v>实验合成金额和日期；明确摘要要求保持原文</x:v>
      </x:c>
    </x:row>
    <x:row r="7" ht="25" customHeight="1">
      <x:c r="A7" s="2" t="str">
        <x:v>HSJ006</x:v>
      </x:c>
      <x:c r="B7" s="5" t="n">
        <x:v>45971</x:v>
      </x:c>
      <x:c r="C7" s="2" t="str">
        <x:v>合生纪</x:v>
      </x:c>
      <x:c r="D7" s="2" t="str">
        <x:v>房租</x:v>
      </x:c>
      <x:c r="E7" s="2" t="str">
        <x:v>实验往来单位</x:v>
      </x:c>
      <x:c r="F7" s="8" t="n">
        <x:v>0</x:v>
      </x:c>
      <x:c r="G7" s="8" t="n">
        <x:v>12000</x:v>
      </x:c>
      <x:c r="H7" s="2" t="str">
        <x:v>经营性流出</x:v>
      </x:c>
      <x:c r="I7" s="2" t="str">
        <x:v>租赁费</x:v>
      </x:c>
      <x:c r="J7" s="2" t="str">
        <x:v>实验合成金额和日期；明确摘要要求保持原文</x:v>
      </x:c>
    </x:row>
    <x:row r="8" ht="25" customHeight="1">
      <x:c r="A8" s="2" t="str">
        <x:v>HSJ007</x:v>
      </x:c>
      <x:c r="B8" s="5" t="n">
        <x:v>46012</x:v>
      </x:c>
      <x:c r="C8" s="2" t="str">
        <x:v>合生纪</x:v>
      </x:c>
      <x:c r="D8" s="2" t="str">
        <x:v>产品销售收款</x:v>
      </x:c>
      <x:c r="E8" s="2" t="str">
        <x:v>实验往来单位</x:v>
      </x:c>
      <x:c r="F8" s="8" t="n">
        <x:v>30000</x:v>
      </x:c>
      <x:c r="G8" s="8" t="n">
        <x:v>0</x:v>
      </x:c>
      <x:c r="H8" s="2" t="str">
        <x:v>经营收入</x:v>
      </x:c>
      <x:c r="I8" s="2" t="str">
        <x:v>产品销售</x:v>
      </x:c>
      <x:c r="J8" s="2" t="str">
        <x:v>实验合成金额和日期；明确摘要要求保持原文</x:v>
      </x:c>
    </x:row>
    <x:row r="9" ht="25" customHeight="1">
      <x:c r="A9" s="2" t="str">
        <x:v>HSJ008</x:v>
      </x:c>
      <x:c r="B9" s="5" t="n">
        <x:v>46013</x:v>
      </x:c>
      <x:c r="C9" s="2" t="str">
        <x:v>合生纪</x:v>
      </x:c>
      <x:c r="D9" s="2" t="str">
        <x:v>采购原料</x:v>
      </x:c>
      <x:c r="E9" s="2" t="str">
        <x:v>实验往来单位</x:v>
      </x:c>
      <x:c r="F9" s="8" t="n">
        <x:v>0</x:v>
      </x:c>
      <x:c r="G9" s="8" t="n">
        <x:v>9000</x:v>
      </x:c>
      <x:c r="H9" s="2" t="str">
        <x:v>经营性流出</x:v>
      </x:c>
      <x:c r="I9" s="2" t="str">
        <x:v>原料采购</x:v>
      </x:c>
      <x:c r="J9" s="2" t="str">
        <x:v>实验合成金额和日期；明确摘要要求保持原文</x:v>
      </x:c>
    </x:row>
    <x:row r="10" ht="25" customHeight="1">
      <x:c r="A10" s="2" t="str">
        <x:v>HSJ009</x:v>
      </x:c>
      <x:c r="B10" s="5" t="n">
        <x:v>46023</x:v>
      </x:c>
      <x:c r="C10" s="2" t="str">
        <x:v>合生纪</x:v>
      </x:c>
      <x:c r="D10" s="2" t="str">
        <x:v>产品销售收款</x:v>
      </x:c>
      <x:c r="E10" s="2" t="str">
        <x:v>实验往来单位</x:v>
      </x:c>
      <x:c r="F10" s="8" t="n">
        <x:v>8000</x:v>
      </x:c>
      <x:c r="G10" s="8" t="n">
        <x:v>0</x:v>
      </x:c>
      <x:c r="H10" s="2" t="str">
        <x:v>经营收入</x:v>
      </x:c>
      <x:c r="I10" s="2" t="str">
        <x:v>产品销售</x:v>
      </x:c>
      <x:c r="J10" s="2" t="str">
        <x:v>实验合成金额和日期；明确摘要要求保持原文</x:v>
      </x:c>
    </x:row>
    <x:row r="11" ht="25" customHeight="1">
      <x:c r="A11" s="2" t="str">
        <x:v>HSJ010</x:v>
      </x:c>
      <x:c r="B11" s="5" t="n">
        <x:v>46024</x:v>
      </x:c>
      <x:c r="C11" s="2" t="str">
        <x:v>合生纪</x:v>
      </x:c>
      <x:c r="D11" s="2" t="str">
        <x:v>产品销售收款</x:v>
      </x:c>
      <x:c r="E11" s="2" t="str">
        <x:v>实验往来单位</x:v>
      </x:c>
      <x:c r="F11" s="8" t="n">
        <x:v>50000</x:v>
      </x:c>
      <x:c r="G11" s="8" t="n">
        <x:v>0</x:v>
      </x:c>
      <x:c r="H11" s="2" t="str">
        <x:v>经营收入</x:v>
      </x:c>
      <x:c r="I11" s="2" t="str">
        <x:v>产品销售</x:v>
      </x:c>
      <x:c r="J11" s="2" t="str">
        <x:v>实验合成金额和日期；明确摘要要求保持原文</x:v>
      </x:c>
    </x:row>
    <x:row r="12" ht="25" customHeight="1">
      <x:c r="A12" s="2" t="str">
        <x:v>HSJ011</x:v>
      </x:c>
      <x:c r="B12" s="5" t="n">
        <x:v>46058</x:v>
      </x:c>
      <x:c r="C12" s="2" t="str">
        <x:v>合生纪</x:v>
      </x:c>
      <x:c r="D12" s="2" t="str">
        <x:v>采购原料</x:v>
      </x:c>
      <x:c r="E12" s="2" t="str">
        <x:v>实验往来单位</x:v>
      </x:c>
      <x:c r="F12" s="8" t="n">
        <x:v>0</x:v>
      </x:c>
      <x:c r="G12" s="8" t="n">
        <x:v>18000</x:v>
      </x:c>
      <x:c r="H12" s="2" t="str">
        <x:v>经营性流出</x:v>
      </x:c>
      <x:c r="I12" s="2" t="str">
        <x:v>原料采购</x:v>
      </x:c>
      <x:c r="J12" s="2" t="str">
        <x:v>实验合成金额和日期；明确摘要要求保持原文</x:v>
      </x:c>
    </x:row>
    <x:row r="13" ht="25" customHeight="1">
      <x:c r="A13" s="2" t="str">
        <x:v>HSJ012</x:v>
      </x:c>
      <x:c r="B13" s="5" t="n">
        <x:v>46093</x:v>
      </x:c>
      <x:c r="C13" s="2" t="str">
        <x:v>合生纪</x:v>
      </x:c>
      <x:c r="D13" s="2" t="str">
        <x:v>备用金</x:v>
      </x:c>
      <x:c r="E13" s="2" t="str">
        <x:v>实验往来单位</x:v>
      </x:c>
      <x:c r="F13" s="8" t="n">
        <x:v>0</x:v>
      </x:c>
      <x:c r="G13" s="8" t="n">
        <x:v>5000</x:v>
      </x:c>
      <x:c r="H13" s="2" t="str">
        <x:v>员工报销</x:v>
      </x:c>
      <x:c r="I13" s="2" t="str">
        <x:v>备用金</x:v>
      </x:c>
      <x:c r="J13" s="2" t="str">
        <x:v>实验合成金额和日期；明确摘要要求保持原文</x:v>
      </x:c>
    </x:row>
    <x:row r="14" ht="25" customHeight="1">
      <x:c r="A14" s="2" t="str">
        <x:v>HSJ013</x:v>
      </x:c>
      <x:c r="B14" s="5" t="n">
        <x:v>46115</x:v>
      </x:c>
      <x:c r="C14" s="2" t="str">
        <x:v>合生纪</x:v>
      </x:c>
      <x:c r="D14" s="2" t="str">
        <x:v>大零号湾科技创新策源功能区专款（补贴）</x:v>
      </x:c>
      <x:c r="E14" s="2" t="str">
        <x:v>实验往来单位</x:v>
      </x:c>
      <x:c r="F14" s="8" t="n">
        <x:v>100000</x:v>
      </x:c>
      <x:c r="G14" s="8" t="n">
        <x:v>0</x:v>
      </x:c>
      <x:c r="H14" s="2" t="str">
        <x:v>经营收入</x:v>
      </x:c>
      <x:c r="I14" s="2" t="str">
        <x:v>补贴</x:v>
      </x:c>
      <x:c r="J14" s="2" t="str">
        <x:v>实验合成金额和日期；明确摘要要求保持原文</x:v>
      </x:c>
    </x:row>
    <x:row r="15" ht="25" customHeight="1">
      <x:c r="A15" s="2" t="str">
        <x:v>HSJ014</x:v>
      </x:c>
      <x:c r="B15" s="5" t="n">
        <x:v>46150</x:v>
      </x:c>
      <x:c r="C15" s="2" t="str">
        <x:v>合生纪</x:v>
      </x:c>
      <x:c r="D15" s="2" t="str">
        <x:v>员工差旅报销</x:v>
      </x:c>
      <x:c r="E15" s="2" t="str">
        <x:v>实验往来单位</x:v>
      </x:c>
      <x:c r="F15" s="8" t="n">
        <x:v>0</x:v>
      </x:c>
      <x:c r="G15" s="8" t="n">
        <x:v>4200</x:v>
      </x:c>
      <x:c r="H15" s="2" t="str">
        <x:v>员工报销</x:v>
      </x:c>
      <x:c r="I15" s="2" t="str">
        <x:v>差旅报销</x:v>
      </x:c>
      <x:c r="J15" s="2" t="str">
        <x:v>实验合成金额和日期；明确摘要要求保持原文</x:v>
      </x:c>
    </x:row>
    <x:row r="16" ht="25" customHeight="1">
      <x:c r="A16" s="2" t="str">
        <x:v>HSJ015</x:v>
      </x:c>
      <x:c r="B16" s="5" t="n">
        <x:v>46194</x:v>
      </x:c>
      <x:c r="C16" s="2" t="str">
        <x:v>合生纪</x:v>
      </x:c>
      <x:c r="D16" s="2" t="str">
        <x:v>产品销售收款</x:v>
      </x:c>
      <x:c r="E16" s="2" t="str">
        <x:v>实验往来单位</x:v>
      </x:c>
      <x:c r="F16" s="8" t="n">
        <x:v>70000</x:v>
      </x:c>
      <x:c r="G16" s="8" t="n">
        <x:v>0</x:v>
      </x:c>
      <x:c r="H16" s="2" t="str">
        <x:v>经营收入</x:v>
      </x:c>
      <x:c r="I16" s="2" t="str">
        <x:v>产品销售</x:v>
      </x:c>
      <x:c r="J16" s="2" t="str">
        <x:v>实验合成金额和日期；明确摘要要求保持原文</x:v>
      </x:c>
    </x:row>
    <x:row r="17" ht="25" customHeight="1">
      <x:c r="A17" s="2" t="str">
        <x:v>HSJ016</x:v>
      </x:c>
      <x:c r="B17" s="5" t="n">
        <x:v>46195</x:v>
      </x:c>
      <x:c r="C17" s="2" t="str">
        <x:v>合生纪</x:v>
      </x:c>
      <x:c r="D17" s="2" t="str">
        <x:v>房租</x:v>
      </x:c>
      <x:c r="E17" s="2" t="str">
        <x:v>实验往来单位</x:v>
      </x:c>
      <x:c r="F17" s="8" t="n">
        <x:v>0</x:v>
      </x:c>
      <x:c r="G17" s="8" t="n">
        <x:v>11000</x:v>
      </x:c>
      <x:c r="H17" s="2" t="str">
        <x:v>经营性流出</x:v>
      </x:c>
      <x:c r="I17" s="2" t="str">
        <x:v>租赁费</x:v>
      </x:c>
      <x:c r="J17" s="2" t="str">
        <x:v>实验合成金额和日期；明确摘要要求保持原文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公司</x:v>
      </x:c>
      <x:c r="B5" s="2" t="str">
        <x:v>合生纪</x:v>
      </x:c>
    </x:row>
    <x:row r="6" ht="25" customHeight="1">
      <x:c r="A6" s="2" t="str">
        <x:v>模板范围</x:v>
      </x:c>
      <x:c r="B6" s="2" t="str">
        <x:v>2025-08-07 至 2025-12-21；这是已给历史模板，不是应生成的 2026 上半年最终文件。</x:v>
      </x:c>
    </x:row>
    <x:row r="7" ht="25" customHeight="1">
      <x:c r="A7" s="2" t="str">
        <x:v>模板公式</x:v>
      </x:c>
      <x:c r="B7" s="2" t="str">
        <x:v>金额列按类别、项目和起止日期 SUMIFS；不宣称恢复原附件样式或未知原公式字节。</x:v>
      </x:c>
    </x:row>
  </x:sheetData>
  <x:pageMargins left="0.7" right="0.7" top="0.75" bottom="0.75" header="0.3" footer="0.3"/>
</x:worksheet>
</file>