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f5e7ed16a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假设" sheetId="1" r:id="R0f48ebc4effe48dc"/>
    <x:sheet xmlns:r="http://schemas.openxmlformats.org/officeDocument/2006/relationships" name="经营测算" sheetId="2" r:id="Rdac7bac56f3f4ea1"/>
    <x:sheet xmlns:r="http://schemas.openxmlformats.org/officeDocument/2006/relationships" name="资金预测" sheetId="3" r:id="R2c7a444101f74f8f"/>
    <x:sheet xmlns:r="http://schemas.openxmlformats.org/officeDocument/2006/relationships" name="材料说明" sheetId="4" r:id="R938f041c5357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d81e7a9e0434b" /><Relationship Type="http://schemas.openxmlformats.org/officeDocument/2006/relationships/theme" Target="/xl/theme/theme1.xml" Id="R5ec999958b204cb9" /><Relationship Type="http://schemas.openxmlformats.org/officeDocument/2006/relationships/sharedStrings" Target="/xl/sharedStrings.xml" Id="R4deb2b0c4ce040d6" /><Relationship Type="http://schemas.openxmlformats.org/officeDocument/2006/relationships/worksheet" Target="/xl/worksheets/sheet1.xml" Id="R0f48ebc4effe48dc" /><Relationship Type="http://schemas.openxmlformats.org/officeDocument/2006/relationships/worksheet" Target="/xl/worksheets/sheet2.xml" Id="Rdac7bac56f3f4ea1" /><Relationship Type="http://schemas.openxmlformats.org/officeDocument/2006/relationships/worksheet" Target="/xl/worksheets/sheet3.xml" Id="R2c7a444101f74f8f" /><Relationship Type="http://schemas.openxmlformats.org/officeDocument/2006/relationships/worksheet" Target="/xl/worksheets/sheet4.xml" Id="R938f041c5357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85" hidden="0" customWidth="1"/>
  </x:cols>
  <x:sheetData>
    <x:row r="1" ht="42" customHeight="1">
      <x:c r="A1" s="4" t="str">
        <x:v>参数</x:v>
      </x:c>
      <x:c r="B1" s="4" t="str">
        <x:v>2027</x:v>
      </x:c>
      <x:c r="C1" s="4" t="str">
        <x:v>2028</x:v>
      </x:c>
      <x:c r="D1" s="4" t="str">
        <x:v>2029</x:v>
      </x:c>
      <x:c r="E1" s="4" t="str">
        <x:v>来源或口径</x:v>
      </x:c>
    </x:row>
    <x:row r="2" ht="25" customHeight="1">
      <x:c r="A2" s="2" t="str">
        <x:v>年营业收入（元）</x:v>
      </x:c>
      <x:c r="B2" s="9" t="n">
        <x:v>57000000</x:v>
      </x:c>
      <x:c r="C2" s="9" t="n">
        <x:v>170000000</x:v>
      </x:c>
      <x:c r="D2" s="9" t="n">
        <x:v>390000000</x:v>
      </x:c>
      <x:c r="E2" s="2" t="str">
        <x:v>原人类 dispatch 43 明确：5700万、1.7亿、3.9亿；预测年份为实验设定</x:v>
      </x:c>
    </x:row>
    <x:row r="3" ht="25" customHeight="1">
      <x:c r="A3" s="2" t="str">
        <x:v>营业成本占收入</x:v>
      </x:c>
      <x:c r="B3" s="8" t="n">
        <x:v>0.4</x:v>
      </x:c>
      <x:c r="C3" s="8" t="n">
        <x:v>0.4</x:v>
      </x:c>
      <x:c r="D3" s="8" t="n">
        <x:v>0.4</x:v>
      </x:c>
      <x:c r="E3" s="2" t="str">
        <x:v>实验合成成本假设；不认证历史附件的原有毛利或耗材测算结果</x:v>
      </x:c>
    </x:row>
    <x:row r="4" ht="25" customHeight="1">
      <x:c r="A4" s="2" t="str">
        <x:v>销售费用占收入</x:v>
      </x:c>
      <x:c r="B4" s="8" t="n">
        <x:v>0.1</x:v>
      </x:c>
      <x:c r="C4" s="8" t="n">
        <x:v>0.12</x:v>
      </x:c>
      <x:c r="D4" s="8" t="n">
        <x:v>0.12</x:v>
      </x:c>
      <x:c r="E4" s="2" t="str">
        <x:v>实验合成假设</x:v>
      </x:c>
    </x:row>
    <x:row r="5" ht="25" customHeight="1">
      <x:c r="A5" s="2" t="str">
        <x:v>研发费用占收入</x:v>
      </x:c>
      <x:c r="B5" s="8" t="n">
        <x:v>0.12</x:v>
      </x:c>
      <x:c r="C5" s="8" t="n">
        <x:v>0.1</x:v>
      </x:c>
      <x:c r="D5" s="8" t="n">
        <x:v>0.08</x:v>
      </x:c>
      <x:c r="E5" s="2" t="str">
        <x:v>实验合成假设</x:v>
      </x:c>
    </x:row>
    <x:row r="6" ht="25" customHeight="1">
      <x:c r="A6" s="2" t="str">
        <x:v>管理费用占收入</x:v>
      </x:c>
      <x:c r="B6" s="8" t="n">
        <x:v>0.08</x:v>
      </x:c>
      <x:c r="C6" s="8" t="n">
        <x:v>0.06</x:v>
      </x:c>
      <x:c r="D6" s="8" t="n">
        <x:v>0.05</x:v>
      </x:c>
      <x:c r="E6" s="2" t="str">
        <x:v>实验合成假设；不再包含单列研发</x:v>
      </x:c>
    </x:row>
    <x:row r="7" ht="25" customHeight="1">
      <x:c r="A7" s="2" t="str">
        <x:v>售后费用占收入</x:v>
      </x:c>
      <x:c r="B7" s="8" t="n">
        <x:v>0.025</x:v>
      </x:c>
      <x:c r="C7" s="8" t="n">
        <x:v>0.025</x:v>
      </x:c>
      <x:c r="D7" s="8" t="n">
        <x:v>0.025</x:v>
      </x:c>
      <x:c r="E7" s="2" t="str">
        <x:v>实验合成假设</x:v>
      </x:c>
    </x:row>
    <x:row r="8" ht="25" customHeight="1">
      <x:c r="A8" s="2" t="str">
        <x:v>所得税率</x:v>
      </x:c>
      <x:c r="B8" s="8" t="n">
        <x:v>0.25</x:v>
      </x:c>
      <x:c r="C8" s="8" t="n">
        <x:v>0.25</x:v>
      </x:c>
      <x:c r="D8" s="8" t="n">
        <x:v>0.25</x:v>
      </x:c>
      <x:c r="E8" s="2" t="str">
        <x:v>实验合成预测口径；不是法律税务认定</x:v>
      </x:c>
    </x:row>
    <x:row r="9" ht="25" customHeight="1">
      <x:c r="A9" s="2" t="str">
        <x:v>本年收入回款比例</x:v>
      </x:c>
      <x:c r="B9" s="8" t="n">
        <x:v>0.9</x:v>
      </x:c>
      <x:c r="C9" s="8" t="n">
        <x:v>0.9</x:v>
      </x:c>
      <x:c r="D9" s="8" t="n">
        <x:v>0.9</x:v>
      </x:c>
      <x:c r="E9" s="2" t="str">
        <x:v>实验合成假设；剩余应收下年回款</x:v>
      </x:c>
    </x:row>
    <x:row r="10" ht="25" customHeight="1">
      <x:c r="A10" s="2" t="str">
        <x:v>人员总数</x:v>
      </x:c>
      <x:c r="B10" s="10" t="n">
        <x:v>35</x:v>
      </x:c>
      <x:c r="C10" s="10" t="n">
        <x:v>70</x:v>
      </x:c>
      <x:c r="D10" s="10" t="n">
        <x:v>120</x:v>
      </x:c>
      <x:c r="E10" s="2" t="str">
        <x:v>实验合成岗位人数</x:v>
      </x:c>
    </x:row>
    <x:row r="11" ht="25" customHeight="1">
      <x:c r="A11" s="2" t="str">
        <x:v>期初货币资金（元）</x:v>
      </x:c>
      <x:c r="B11" s="9" t="n">
        <x:v>3000000</x:v>
      </x:c>
      <x:c r="C11" s="6" t="n">
        <x:f>'资金预测'!B13</x:f>
        <x:v>16056250</x:v>
      </x:c>
      <x:c r="D11" s="6" t="n">
        <x:f>'资金预测'!C13</x:f>
        <x:v>36368750</x:v>
      </x:c>
      <x:c r="E11" s="2" t="str">
        <x:v>实验合成；后续期初承接前期期末</x:v>
      </x:c>
    </x:row>
    <x:row r="12" ht="25" customHeight="1">
      <x:c r="A12" s="2" t="str">
        <x:v>借款到账（元）</x:v>
      </x:c>
      <x:c r="B12" s="9" t="n">
        <x:v>5000000</x:v>
      </x:c>
      <x:c r="C12" s="9" t="n">
        <x:v>3000000</x:v>
      </x:c>
      <x:c r="D12" s="9" t="n">
        <x:v>0</x:v>
      </x:c>
      <x:c r="E12" s="2" t="str">
        <x:v>实验合成融资假设</x:v>
      </x:c>
    </x:row>
    <x:row r="13" ht="25" customHeight="1">
      <x:c r="A13" s="2" t="str">
        <x:v>增资到账（元）</x:v>
      </x:c>
      <x:c r="B13" s="9" t="n">
        <x:v>10000000</x:v>
      </x:c>
      <x:c r="C13" s="9" t="n">
        <x:v>0</x:v>
      </x:c>
      <x:c r="D13" s="9" t="n">
        <x:v>0</x:v>
      </x:c>
      <x:c r="E13" s="2" t="str">
        <x:v>实验合成融资假设</x:v>
      </x:c>
    </x:row>
    <x:row r="14" ht="25" customHeight="1">
      <x:c r="A14" s="2" t="str">
        <x:v>资本开支（元）</x:v>
      </x:c>
      <x:c r="B14" s="9" t="n">
        <x:v>8000000</x:v>
      </x:c>
      <x:c r="C14" s="9" t="n">
        <x:v>6000000</x:v>
      </x:c>
      <x:c r="D14" s="9" t="n">
        <x:v>4000000</x:v>
      </x:c>
      <x:c r="E14" s="2" t="str">
        <x:v>实验合成设备投入</x:v>
      </x:c>
    </x:row>
    <x:row r="15" ht="25" customHeight="1">
      <x:c r="A15" s="2" t="str">
        <x:v>借款归还（元）</x:v>
      </x:c>
      <x:c r="B15" s="9" t="n">
        <x:v>0</x:v>
      </x:c>
      <x:c r="C15" s="9" t="n">
        <x:v>3000000</x:v>
      </x:c>
      <x:c r="D15" s="9" t="n">
        <x:v>5000000</x:v>
      </x:c>
      <x:c r="E15" s="2" t="str">
        <x:v>实验合成；总偿还不超过此前借入</x:v>
      </x:c>
    </x:row>
    <x:row r="16" ht="25" customHeight="1">
      <x:c r="A16" s="2" t="str">
        <x:v>上传版本</x:v>
      </x:c>
      <x:c r="B16" s="2" t="str">
        <x:v>v3</x:v>
      </x:c>
      <x:c r="C16" s="2" t="str">
        <x:v>v3</x:v>
      </x:c>
      <x:c r="D16" s="2" t="str">
        <x:v>v3</x:v>
      </x:c>
      <x:c r="E16" s="2" t="str">
        <x:v>分别对应原人类的新上传文件；具体历史数值未知，修订假设明确为实验合成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营业收入</x:v>
      </x:c>
      <x:c r="B2" s="6" t="n">
        <x:f>'预测假设'!B2</x:f>
        <x:v>57000000</x:v>
      </x:c>
      <x:c r="C2" s="6" t="n">
        <x:f>'预测假设'!C2</x:f>
        <x:v>170000000</x:v>
      </x:c>
      <x:c r="D2" s="6" t="n">
        <x:f>'预测假设'!D2</x:f>
        <x:v>390000000</x:v>
      </x:c>
    </x:row>
    <x:row r="3" ht="25" customHeight="1">
      <x:c r="A3" s="2" t="str">
        <x:v>营业成本</x:v>
      </x:c>
      <x:c r="B3" s="6" t="n">
        <x:f>B2*'预测假设'!B3</x:f>
        <x:v>22800000</x:v>
      </x:c>
      <x:c r="C3" s="6" t="n">
        <x:f>C2*'预测假设'!C3</x:f>
        <x:v>68000000</x:v>
      </x:c>
      <x:c r="D3" s="6" t="n">
        <x:f>D2*'预测假设'!D3</x:f>
        <x:v>156000000</x:v>
      </x:c>
    </x:row>
    <x:row r="4" ht="25" customHeight="1">
      <x:c r="A4" s="2" t="str">
        <x:v>毛利</x:v>
      </x:c>
      <x:c r="B4" s="6" t="n">
        <x:f>B2-B3</x:f>
        <x:v>34200000</x:v>
      </x:c>
      <x:c r="C4" s="6" t="n">
        <x:f>C2-C3</x:f>
        <x:v>102000000</x:v>
      </x:c>
      <x:c r="D4" s="6" t="n">
        <x:f>D2-D3</x:f>
        <x:v>234000000</x:v>
      </x:c>
    </x:row>
    <x:row r="5" ht="25" customHeight="1">
      <x:c r="A5" s="2" t="str">
        <x:v>销售费用</x:v>
      </x:c>
      <x:c r="B5" s="6" t="n">
        <x:f>B2*'预测假设'!B4</x:f>
        <x:v>5700000</x:v>
      </x:c>
      <x:c r="C5" s="6" t="n">
        <x:f>C2*'预测假设'!C4</x:f>
        <x:v>20400000</x:v>
      </x:c>
      <x:c r="D5" s="6" t="n">
        <x:f>D2*'预测假设'!D4</x:f>
        <x:v>46800000</x:v>
      </x:c>
    </x:row>
    <x:row r="6" ht="25" customHeight="1">
      <x:c r="A6" s="2" t="str">
        <x:v>研发费用</x:v>
      </x:c>
      <x:c r="B6" s="6" t="n">
        <x:f>B2*'预测假设'!B5</x:f>
        <x:v>6840000</x:v>
      </x:c>
      <x:c r="C6" s="6" t="n">
        <x:f>C2*'预测假设'!C5</x:f>
        <x:v>17000000</x:v>
      </x:c>
      <x:c r="D6" s="6" t="n">
        <x:f>D2*'预测假设'!D5</x:f>
        <x:v>31200000</x:v>
      </x:c>
    </x:row>
    <x:row r="7" ht="25" customHeight="1">
      <x:c r="A7" s="2" t="str">
        <x:v>管理费用</x:v>
      </x:c>
      <x:c r="B7" s="6" t="n">
        <x:f>B2*'预测假设'!B6</x:f>
        <x:v>4560000</x:v>
      </x:c>
      <x:c r="C7" s="6" t="n">
        <x:f>C2*'预测假设'!C6</x:f>
        <x:v>10200000</x:v>
      </x:c>
      <x:c r="D7" s="6" t="n">
        <x:f>D2*'预测假设'!D6</x:f>
        <x:v>19500000</x:v>
      </x:c>
    </x:row>
    <x:row r="8" ht="25" customHeight="1">
      <x:c r="A8" s="2" t="str">
        <x:v>售后费用</x:v>
      </x:c>
      <x:c r="B8" s="6" t="n">
        <x:f>B2*'预测假设'!B7</x:f>
        <x:v>1425000</x:v>
      </x:c>
      <x:c r="C8" s="6" t="n">
        <x:f>C2*'预测假设'!C7</x:f>
        <x:v>4250000</x:v>
      </x:c>
      <x:c r="D8" s="6" t="n">
        <x:f>D2*'预测假设'!D7</x:f>
        <x:v>9750000</x:v>
      </x:c>
    </x:row>
    <x:row r="9" ht="25" customHeight="1">
      <x:c r="A9" s="2" t="str">
        <x:v>税前利润</x:v>
      </x:c>
      <x:c r="B9" s="6" t="n">
        <x:f>B4-SUM(B5:B8)</x:f>
        <x:v>15675000</x:v>
      </x:c>
      <x:c r="C9" s="6" t="n">
        <x:f>C4-SUM(C5:C8)</x:f>
        <x:v>50150000</x:v>
      </x:c>
      <x:c r="D9" s="6" t="n">
        <x:f>D4-SUM(D5:D8)</x:f>
        <x:v>126750000</x:v>
      </x:c>
    </x:row>
    <x:row r="10" ht="25" customHeight="1">
      <x:c r="A10" s="2" t="str">
        <x:v>所得税</x:v>
      </x:c>
      <x:c r="B10" s="6" t="n">
        <x:f>MAX(B9,0)*'预测假设'!B8</x:f>
        <x:v>3918750</x:v>
      </x:c>
      <x:c r="C10" s="6" t="n">
        <x:f>MAX(C9,0)*'预测假设'!C8</x:f>
        <x:v>12537500</x:v>
      </x:c>
      <x:c r="D10" s="6" t="n">
        <x:f>MAX(D9,0)*'预测假设'!D8</x:f>
        <x:v>31687500</x:v>
      </x:c>
    </x:row>
    <x:row r="11" ht="25" customHeight="1">
      <x:c r="A11" s="2" t="str">
        <x:v>净利润</x:v>
      </x:c>
      <x:c r="B11" s="6" t="n">
        <x:f>B9-B10</x:f>
        <x:v>11756250</x:v>
      </x:c>
      <x:c r="C11" s="6" t="n">
        <x:f>C9-C10</x:f>
        <x:v>37612500</x:v>
      </x:c>
      <x:c r="D11" s="6" t="n">
        <x:f>D9-D10</x:f>
        <x:v>95062500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期初货币资金</x:v>
      </x:c>
      <x:c r="B2" s="6" t="n">
        <x:f>'预测假设'!B11</x:f>
        <x:v>3000000</x:v>
      </x:c>
      <x:c r="C2" s="6" t="n">
        <x:f>'预测假设'!C11</x:f>
        <x:v>16056250</x:v>
      </x:c>
      <x:c r="D2" s="6" t="n">
        <x:f>'预测假设'!D11</x:f>
        <x:v>36368750</x:v>
      </x:c>
    </x:row>
    <x:row r="3" ht="25" customHeight="1">
      <x:c r="A3" s="2" t="str">
        <x:v>当期收入回款</x:v>
      </x:c>
      <x:c r="B3" s="6" t="n">
        <x:f>'经营测算'!B2*'预测假设'!B9</x:f>
        <x:v>51300000</x:v>
      </x:c>
      <x:c r="C3" s="6" t="n">
        <x:f>'经营测算'!C2*'预测假设'!C9</x:f>
        <x:v>153000000</x:v>
      </x:c>
      <x:c r="D3" s="6" t="n">
        <x:f>'经营测算'!D2*'预测假设'!D9</x:f>
        <x:v>351000000</x:v>
      </x:c>
    </x:row>
    <x:row r="4" ht="25" customHeight="1">
      <x:c r="A4" s="2" t="str">
        <x:v>前期应收回款</x:v>
      </x:c>
      <x:c r="B4" s="9" t="n">
        <x:v>0</x:v>
      </x:c>
      <x:c r="C4" s="6" t="n">
        <x:f>B14</x:f>
        <x:v>5700000</x:v>
      </x:c>
      <x:c r="D4" s="6" t="n">
        <x:f>C14</x:f>
        <x:v>17000000</x:v>
      </x:c>
    </x:row>
    <x:row r="5" ht="25" customHeight="1">
      <x:c r="A5" s="2" t="str">
        <x:v>借款到账</x:v>
      </x:c>
      <x:c r="B5" s="6" t="n">
        <x:f>'预测假设'!B12</x:f>
        <x:v>5000000</x:v>
      </x:c>
      <x:c r="C5" s="6" t="n">
        <x:f>'预测假设'!C12</x:f>
        <x:v>3000000</x:v>
      </x:c>
      <x:c r="D5" s="6" t="n">
        <x:f>'预测假设'!D12</x:f>
        <x:v>0</x:v>
      </x:c>
    </x:row>
    <x:row r="6" ht="25" customHeight="1">
      <x:c r="A6" s="2" t="str">
        <x:v>增资到账</x:v>
      </x:c>
      <x:c r="B6" s="6" t="n">
        <x:f>'预测假设'!B13</x:f>
        <x:v>10000000</x:v>
      </x:c>
      <x:c r="C6" s="6" t="n">
        <x:f>'预测假设'!C13</x:f>
        <x:v>0</x:v>
      </x:c>
      <x:c r="D6" s="6" t="n">
        <x:f>'预测假设'!D13</x:f>
        <x:v>0</x:v>
      </x:c>
    </x:row>
    <x:row r="7" ht="25" customHeight="1">
      <x:c r="A7" s="2" t="str">
        <x:v>经营现金支出</x:v>
      </x:c>
      <x:c r="B7" s="6" t="n">
        <x:f>'经营测算'!B3+SUM('经营测算'!B5:B8)</x:f>
        <x:v>41325000</x:v>
      </x:c>
      <x:c r="C7" s="6" t="n">
        <x:f>'经营测算'!C3+SUM('经营测算'!C5:C8)</x:f>
        <x:v>119850000</x:v>
      </x:c>
      <x:c r="D7" s="6" t="n">
        <x:f>'经营测算'!D3+SUM('经营测算'!D5:D8)</x:f>
        <x:v>263250000</x:v>
      </x:c>
    </x:row>
    <x:row r="8" ht="25" customHeight="1">
      <x:c r="A8" s="2" t="str">
        <x:v>所得税支付</x:v>
      </x:c>
      <x:c r="B8" s="6" t="n">
        <x:f>'经营测算'!B10</x:f>
        <x:v>3918750</x:v>
      </x:c>
      <x:c r="C8" s="6" t="n">
        <x:f>'经营测算'!C10</x:f>
        <x:v>12537500</x:v>
      </x:c>
      <x:c r="D8" s="6" t="n">
        <x:f>'经营测算'!D10</x:f>
        <x:v>31687500</x:v>
      </x:c>
    </x:row>
    <x:row r="9" ht="25" customHeight="1">
      <x:c r="A9" s="2" t="str">
        <x:v>资本开支</x:v>
      </x:c>
      <x:c r="B9" s="6" t="n">
        <x:f>'预测假设'!B14</x:f>
        <x:v>8000000</x:v>
      </x:c>
      <x:c r="C9" s="6" t="n">
        <x:f>'预测假设'!C14</x:f>
        <x:v>6000000</x:v>
      </x:c>
      <x:c r="D9" s="6" t="n">
        <x:f>'预测假设'!D14</x:f>
        <x:v>4000000</x:v>
      </x:c>
    </x:row>
    <x:row r="10" ht="25" customHeight="1">
      <x:c r="A10" s="2" t="str">
        <x:v>借款归还</x:v>
      </x:c>
      <x:c r="B10" s="6" t="n">
        <x:f>'预测假设'!B15</x:f>
        <x:v>0</x:v>
      </x:c>
      <x:c r="C10" s="6" t="n">
        <x:f>'预测假设'!C15</x:f>
        <x:v>3000000</x:v>
      </x:c>
      <x:c r="D10" s="6" t="n">
        <x:f>'预测假设'!D15</x:f>
        <x:v>5000000</x:v>
      </x:c>
    </x:row>
    <x:row r="11" ht="25" customHeight="1">
      <x:c r="A11" s="2" t="str">
        <x:v>现金流入合计</x:v>
      </x:c>
      <x:c r="B11" s="6" t="n">
        <x:f>SUM(B3:B6)</x:f>
        <x:v>66300000</x:v>
      </x:c>
      <x:c r="C11" s="6" t="n">
        <x:f>SUM(C3:C6)</x:f>
        <x:v>161700000</x:v>
      </x:c>
      <x:c r="D11" s="6" t="n">
        <x:f>SUM(D3:D6)</x:f>
        <x:v>368000000</x:v>
      </x:c>
    </x:row>
    <x:row r="12" ht="25" customHeight="1">
      <x:c r="A12" s="2" t="str">
        <x:v>现金流出合计</x:v>
      </x:c>
      <x:c r="B12" s="6" t="n">
        <x:f>SUM(B7:B10)</x:f>
        <x:v>53243750</x:v>
      </x:c>
      <x:c r="C12" s="6" t="n">
        <x:f>SUM(C7:C10)</x:f>
        <x:v>141387500</x:v>
      </x:c>
      <x:c r="D12" s="6" t="n">
        <x:f>SUM(D7:D10)</x:f>
        <x:v>303937500</x:v>
      </x:c>
    </x:row>
    <x:row r="13" ht="25" customHeight="1">
      <x:c r="A13" s="2" t="str">
        <x:v>期末货币资金</x:v>
      </x:c>
      <x:c r="B13" s="6" t="n">
        <x:f>B2+B11-B12</x:f>
        <x:v>16056250</x:v>
      </x:c>
      <x:c r="C13" s="6" t="n">
        <x:f>C2+C11-C12</x:f>
        <x:v>36368750</x:v>
      </x:c>
      <x:c r="D13" s="6" t="n">
        <x:f>D2+D11-D12</x:f>
        <x:v>100431250</x:v>
      </x:c>
    </x:row>
    <x:row r="14" ht="25" customHeight="1">
      <x:c r="A14" s="2" t="str">
        <x:v>期末应收账款</x:v>
      </x:c>
      <x:c r="B14" s="6" t="n">
        <x:f>'经营测算'!B2-B3</x:f>
        <x:v>5700000</x:v>
      </x:c>
      <x:c r="C14" s="6" t="n">
        <x:f>'经营测算'!C2-C3</x:f>
        <x:v>17000000</x:v>
      </x:c>
      <x:c r="D14" s="6" t="n">
        <x:f>'经营测算'!D2-D3</x:f>
        <x:v>39000000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输入用途</x:v>
      </x:c>
      <x:c r="B5" s="2" t="str">
        <x:v>原用户已上传预测模型，要求找错误并评价合理性；这些预测是被审输入，不是 agent 审核答案。</x:v>
      </x:c>
    </x:row>
    <x:row r="6" ht="40" customHeight="1">
      <x:c r="A6" s="2" t="str">
        <x:v>版本区别</x:v>
      </x:c>
      <x:c r="B6" s="2" t="str">
        <x:v>原附件内容缺失，不能假装复原各历史修改；各版本保留独立文件与 source/human scope，统一基础数值用于可比较实验。</x:v>
      </x:c>
    </x:row>
    <x:row r="7" ht="25" customHeight="1">
      <x:c r="A7" s="2" t="str">
        <x:v>时间范围</x:v>
      </x:c>
      <x:c r="B7" s="2" t="str">
        <x:v>原正文未给预测年份；三年标为 2027—2029 仅实验假设，收入目标保持原用户明确值。</x:v>
      </x:c>
    </x:row>
    <x:row r="8" ht="25" customHeight="1">
      <x:c r="A8" s="2" t="str">
        <x:v>方向</x:v>
      </x:c>
      <x:c r="B8" s="2" t="str">
        <x:v>收入、融资为流入；经营支出、税金、资本开支、还本为流出，期末=期初+流入-流出。</x:v>
      </x:c>
    </x:row>
  </x:sheetData>
  <x:pageMargins left="0.7" right="0.7" top="0.75" bottom="0.75" header="0.3" footer="0.3"/>
</x:worksheet>
</file>