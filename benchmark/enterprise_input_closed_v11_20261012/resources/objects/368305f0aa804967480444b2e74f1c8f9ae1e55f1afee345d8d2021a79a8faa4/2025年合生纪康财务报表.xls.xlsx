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3df7c2b1c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负债表" sheetId="1" r:id="R8ab57139718e47fc"/>
    <x:sheet xmlns:r="http://schemas.openxmlformats.org/officeDocument/2006/relationships" name="利润表" sheetId="2" r:id="R241d783856fa4abb"/>
    <x:sheet xmlns:r="http://schemas.openxmlformats.org/officeDocument/2006/relationships" name="现金流量表" sheetId="3" r:id="Rbfe1093a0c3d44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5">
    <x:font>
      <x:sz val="11"/>
      <x:name val="Carlito"/>
    </x:font>
    <x:font>
      <x:sz val="10"/>
      <x:color rgb="FF172033"/>
      <x:name val="Microsoft YaHei"/>
    </x:font>
    <x:font>
      <x:b/>
      <x:sz val="14"/>
      <x:color rgb="FF162641"/>
      <x:name val="Microsoft YaHei"/>
    </x:font>
    <x:font>
      <x:i/>
      <x:sz val="10"/>
      <x:color rgb="FF4B5563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9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11c45193548ce" /><Relationship Type="http://schemas.openxmlformats.org/officeDocument/2006/relationships/theme" Target="/xl/theme/theme1.xml" Id="Rbddb1ed4d751401c" /><Relationship Type="http://schemas.openxmlformats.org/officeDocument/2006/relationships/sharedStrings" Target="/xl/sharedStrings.xml" Id="Re6801e60d02f4e96" /><Relationship Type="http://schemas.openxmlformats.org/officeDocument/2006/relationships/worksheet" Target="/xl/worksheets/sheet1.xml" Id="R8ab57139718e47fc" /><Relationship Type="http://schemas.openxmlformats.org/officeDocument/2006/relationships/worksheet" Target="/xl/worksheets/sheet2.xml" Id="R241d783856fa4abb" /><Relationship Type="http://schemas.openxmlformats.org/officeDocument/2006/relationships/worksheet" Target="/xl/worksheets/sheet3.xml" Id="Rbfe1093a0c3d44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22" hidden="0" customWidth="1"/>
    <x:col min="4" max="4" width="22" hidden="0" customWidth="1"/>
  </x:cols>
  <x:sheetData>
    <x:row r="1" ht="26" customHeight="1">
      <x:c r="A1" s="3" t="str">
        <x:v>资产负债表</x:v>
      </x:c>
      <x:c r="B1" s="2"/>
      <x:c r="C1" s="2"/>
      <x:c r="D1" s="2"/>
    </x:row>
    <x:row r="2" ht="30" customHeight="1">
      <x:c r="A2" s="5" t="str">
        <x:v>实验合成历史报表事实；主体：合生纪康；单位：人民币元；期间：2025全年；资产余额、净利…</x:v>
      </x:c>
      <x:c r="B2" s="2"/>
      <x:c r="C2" s="2"/>
      <x:c r="D2" s="2"/>
    </x:row>
    <x:row r="3" ht="26" customHeight="1">
      <x:c r="A3" s="2"/>
      <x:c r="B3" s="2"/>
      <x:c r="C3" s="2"/>
      <x:c r="D3" s="2"/>
    </x:row>
    <x:row r="4" ht="34" customHeight="1">
      <x:c r="A4" s="9" t="str">
        <x:v>科目代码</x:v>
      </x:c>
      <x:c r="B4" s="9" t="str">
        <x:v>科目</x:v>
      </x:c>
      <x:c r="C4" s="9" t="str">
        <x:v>2024-12-31</x:v>
      </x:c>
      <x:c r="D4" s="9" t="str">
        <x:v>2025-12-31</x:v>
      </x:c>
    </x:row>
    <x:row r="5" ht="15" hidden="0" customHeight="1">
      <x:c r="A5" s="11" t="str">
        <x:v>1001</x:v>
      </x:c>
      <x:c r="B5" s="11" t="str">
        <x:v>货币资金</x:v>
      </x:c>
      <x:c r="C5" s="13" t="n">
        <x:v>100000</x:v>
      </x:c>
      <x:c r="D5" s="13" t="n">
        <x:v>150000</x:v>
      </x:c>
    </x:row>
    <x:row r="6" ht="15" hidden="0" customHeight="1">
      <x:c r="A6" s="11" t="str">
        <x:v>1122</x:v>
      </x:c>
      <x:c r="B6" s="11" t="str">
        <x:v>应收账款</x:v>
      </x:c>
      <x:c r="C6" s="13" t="n">
        <x:v>100000</x:v>
      </x:c>
      <x:c r="D6" s="13" t="n">
        <x:v>120000</x:v>
      </x:c>
    </x:row>
    <x:row r="7" ht="15" hidden="0" customHeight="1">
      <x:c r="A7" s="11" t="str">
        <x:v>1405</x:v>
      </x:c>
      <x:c r="B7" s="11" t="str">
        <x:v>存货</x:v>
      </x:c>
      <x:c r="C7" s="13" t="n">
        <x:v>80000</x:v>
      </x:c>
      <x:c r="D7" s="13" t="n">
        <x:v>90000</x:v>
      </x:c>
    </x:row>
    <x:row r="8" ht="15" hidden="0" customHeight="1">
      <x:c r="A8" s="11" t="str">
        <x:v>1601</x:v>
      </x:c>
      <x:c r="B8" s="11" t="str">
        <x:v>固定资产净额</x:v>
      </x:c>
      <x:c r="C8" s="13" t="n">
        <x:v>120000</x:v>
      </x:c>
      <x:c r="D8" s="13" t="n">
        <x:v>160000</x:v>
      </x:c>
    </x:row>
    <x:row r="9" ht="15" hidden="0" customHeight="1">
      <x:c r="A9" s="11" t="str">
        <x:v>2001</x:v>
      </x:c>
      <x:c r="B9" s="11" t="str">
        <x:v>应付账款</x:v>
      </x:c>
      <x:c r="C9" s="13" t="n">
        <x:v>70000</x:v>
      </x:c>
      <x:c r="D9" s="13" t="n">
        <x:v>90000</x:v>
      </x:c>
    </x:row>
    <x:row r="10" ht="15" hidden="0" customHeight="1">
      <x:c r="A10" s="11" t="str">
        <x:v>2101</x:v>
      </x:c>
      <x:c r="B10" s="11" t="str">
        <x:v>短期借款</x:v>
      </x:c>
      <x:c r="C10" s="13" t="n">
        <x:v>50000</x:v>
      </x:c>
      <x:c r="D10" s="13" t="n">
        <x:v>60000</x:v>
      </x:c>
    </x:row>
    <x:row r="11" ht="15" hidden="0" customHeight="1">
      <x:c r="A11" s="11" t="str">
        <x:v>4001</x:v>
      </x:c>
      <x:c r="B11" s="11" t="str">
        <x:v>实收资本</x:v>
      </x:c>
      <x:c r="C11" s="13" t="n">
        <x:v>200000</x:v>
      </x:c>
      <x:c r="D11" s="13" t="n">
        <x:v>200000</x:v>
      </x:c>
    </x:row>
    <x:row r="12" ht="15" hidden="0" customHeight="1">
      <x:c r="A12" s="11" t="str">
        <x:v>4104</x:v>
      </x:c>
      <x:c r="B12" s="11" t="str">
        <x:v>未分配利润</x:v>
      </x:c>
      <x:c r="C12" s="13" t="n">
        <x:v>80000</x:v>
      </x:c>
      <x:c r="D12" s="13" t="n">
        <x:v>170000</x:v>
      </x:c>
    </x:row>
    <x:row r="13" ht="15" hidden="0" customHeight="1">
      <x:c r="A13" s="11" t="str">
        <x:v>A_SUM</x:v>
      </x:c>
      <x:c r="B13" s="11" t="str">
        <x:v>资产总计</x:v>
      </x:c>
      <x:c r="C13" s="13" t="n">
        <x:f>SUM(C5:C8)</x:f>
        <x:v>400000</x:v>
      </x:c>
      <x:c r="D13" s="13" t="n">
        <x:f>SUM(D5:D8)</x:f>
        <x:v>520000</x:v>
      </x:c>
    </x:row>
    <x:row r="14" ht="15" hidden="0" customHeight="1">
      <x:c r="A14" s="11" t="str">
        <x:v>L_SUM</x:v>
      </x:c>
      <x:c r="B14" s="11" t="str">
        <x:v>负债合计</x:v>
      </x:c>
      <x:c r="C14" s="13" t="n">
        <x:f>SUM(C9:C10)</x:f>
        <x:v>120000</x:v>
      </x:c>
      <x:c r="D14" s="13" t="n">
        <x:f>SUM(D9:D10)</x:f>
        <x:v>150000</x:v>
      </x:c>
    </x:row>
    <x:row r="15" ht="15" hidden="0" customHeight="1">
      <x:c r="A15" s="11" t="str">
        <x:v>E_SUM</x:v>
      </x:c>
      <x:c r="B15" s="11" t="str">
        <x:v>所有者权益合计</x:v>
      </x:c>
      <x:c r="C15" s="13" t="n">
        <x:f>SUM(C11:C12)</x:f>
        <x:v>280000</x:v>
      </x:c>
      <x:c r="D15" s="13" t="n">
        <x:f>SUM(D11:D12)</x:f>
        <x:v>370000</x:v>
      </x:c>
    </x:row>
    <x:row r="16" ht="15" hidden="0" customHeight="1">
      <x:c r="A16" s="11" t="str">
        <x:v>LE_SUM</x:v>
      </x:c>
      <x:c r="B16" s="11" t="str">
        <x:v>负债与权益总计</x:v>
      </x:c>
      <x:c r="C16" s="13" t="n">
        <x:f>C14+C15</x:f>
        <x:v>400000</x:v>
      </x:c>
      <x:c r="D16" s="13" t="n">
        <x:f>D14+D15</x:f>
        <x:v>520000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24" hidden="0" customWidth="1"/>
  </x:cols>
  <x:sheetData>
    <x:row r="1" ht="26" customHeight="1">
      <x:c r="A1" s="3" t="str">
        <x:v>利润表</x:v>
      </x:c>
      <x:c r="B1" s="2"/>
      <x:c r="C1" s="2"/>
    </x:row>
    <x:row r="2" ht="30" customHeight="1">
      <x:c r="A2" s="5" t="str">
        <x:v>实验合成历史报表事实；主体：合生纪康；单位：人民币元；期间：2025全年；资产余额、净利…</x:v>
      </x:c>
      <x:c r="B2" s="2"/>
      <x:c r="C2" s="2"/>
    </x:row>
    <x:row r="3" ht="26" customHeight="1">
      <x:c r="A3" s="2"/>
      <x:c r="B3" s="2"/>
      <x:c r="C3" s="2"/>
    </x:row>
    <x:row r="4" ht="34" customHeight="1">
      <x:c r="A4" s="9" t="str">
        <x:v>科目代码</x:v>
      </x:c>
      <x:c r="B4" s="9" t="str">
        <x:v>科目</x:v>
      </x:c>
      <x:c r="C4" s="9" t="str">
        <x:v>2025全年</x:v>
      </x:c>
    </x:row>
    <x:row r="5" ht="15" hidden="0" customHeight="1">
      <x:c r="A5" s="11" t="str">
        <x:v>R</x:v>
      </x:c>
      <x:c r="B5" s="11" t="str">
        <x:v>营业收入</x:v>
      </x:c>
      <x:c r="C5" s="13" t="n">
        <x:v>700000</x:v>
      </x:c>
    </x:row>
    <x:row r="6" ht="15" hidden="0" customHeight="1">
      <x:c r="A6" s="11" t="str">
        <x:v>COGS</x:v>
      </x:c>
      <x:c r="B6" s="11" t="str">
        <x:v>营业成本</x:v>
      </x:c>
      <x:c r="C6" s="13" t="n">
        <x:v>420000</x:v>
      </x:c>
    </x:row>
    <x:row r="7" ht="15" hidden="0" customHeight="1">
      <x:c r="A7" s="11" t="str">
        <x:v>SAL</x:v>
      </x:c>
      <x:c r="B7" s="11" t="str">
        <x:v>职工薪酬费用</x:v>
      </x:c>
      <x:c r="C7" s="13" t="n">
        <x:v>100000</x:v>
      </x:c>
    </x:row>
    <x:row r="8" ht="15" hidden="0" customHeight="1">
      <x:c r="A8" s="11" t="str">
        <x:v>RENT</x:v>
      </x:c>
      <x:c r="B8" s="11" t="str">
        <x:v>租赁费用</x:v>
      </x:c>
      <x:c r="C8" s="13" t="n">
        <x:v>25000</x:v>
      </x:c>
    </x:row>
    <x:row r="9" ht="15" hidden="0" customHeight="1">
      <x:c r="A9" s="11" t="str">
        <x:v>DA</x:v>
      </x:c>
      <x:c r="B9" s="11" t="str">
        <x:v>折旧费用</x:v>
      </x:c>
      <x:c r="C9" s="13" t="n">
        <x:v>20000</x:v>
      </x:c>
    </x:row>
    <x:row r="10" ht="15" hidden="0" customHeight="1">
      <x:c r="A10" s="11" t="str">
        <x:v>ADMIN</x:v>
      </x:c>
      <x:c r="B10" s="11" t="str">
        <x:v>其他管理费用</x:v>
      </x:c>
      <x:c r="C10" s="13" t="n">
        <x:v>15000</x:v>
      </x:c>
    </x:row>
    <x:row r="11" ht="15" hidden="0" customHeight="1">
      <x:c r="A11" s="11" t="str">
        <x:v>PBT</x:v>
      </x:c>
      <x:c r="B11" s="11" t="str">
        <x:v>利润总额</x:v>
      </x:c>
      <x:c r="C11" s="13" t="n">
        <x:f>C5-SUM(C6:C10)</x:f>
        <x:v>120000</x:v>
      </x:c>
    </x:row>
    <x:row r="12" ht="15" hidden="0" customHeight="1">
      <x:c r="A12" s="11" t="str">
        <x:v>TAX</x:v>
      </x:c>
      <x:c r="B12" s="11" t="str">
        <x:v>所得税费用</x:v>
      </x:c>
      <x:c r="C12" s="13" t="n">
        <x:v>30000</x:v>
      </x:c>
    </x:row>
    <x:row r="13" ht="15" hidden="0" customHeight="1">
      <x:c r="A13" s="11" t="str">
        <x:v>NI</x:v>
      </x:c>
      <x:c r="B13" s="11" t="str">
        <x:v>净利润</x:v>
      </x:c>
      <x:c r="C13" s="13" t="n">
        <x:f>C11-C12</x:f>
        <x:v>90000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8" hidden="0" customWidth="1"/>
    <x:col min="3" max="3" width="24" hidden="0" customWidth="1"/>
  </x:cols>
  <x:sheetData>
    <x:row r="1" ht="26" customHeight="1">
      <x:c r="A1" s="3" t="str">
        <x:v>现金流量表</x:v>
      </x:c>
      <x:c r="B1" s="2"/>
      <x:c r="C1" s="2"/>
    </x:row>
    <x:row r="2" ht="30" customHeight="1">
      <x:c r="A2" s="5" t="str">
        <x:v>实验合成历史报表事实；主体：合生纪康；单位：人民币元；期间：2025全年；资产余额、净利…</x:v>
      </x:c>
      <x:c r="B2" s="2"/>
      <x:c r="C2" s="2"/>
    </x:row>
    <x:row r="3" ht="26" customHeight="1">
      <x:c r="A3" s="2"/>
      <x:c r="B3" s="2"/>
      <x:c r="C3" s="2"/>
    </x:row>
    <x:row r="4" ht="34" customHeight="1">
      <x:c r="A4" s="9" t="str">
        <x:v>科目代码</x:v>
      </x:c>
      <x:c r="B4" s="9" t="str">
        <x:v>项目</x:v>
      </x:c>
      <x:c r="C4" s="9" t="str">
        <x:v>2025全年</x:v>
      </x:c>
    </x:row>
    <x:row r="5" ht="15" hidden="0" customHeight="1">
      <x:c r="A5" s="11" t="str">
        <x:v>OP_REC</x:v>
      </x:c>
      <x:c r="B5" s="11" t="str">
        <x:v>销售商品收到的现金</x:v>
      </x:c>
      <x:c r="C5" s="13" t="n">
        <x:v>680000</x:v>
      </x:c>
    </x:row>
    <x:row r="6" ht="15" hidden="0" customHeight="1">
      <x:c r="A6" s="11" t="str">
        <x:v>OP_INV</x:v>
      </x:c>
      <x:c r="B6" s="11" t="str">
        <x:v>采购存货支付现金</x:v>
      </x:c>
      <x:c r="C6" s="13" t="n">
        <x:v>410000</x:v>
      </x:c>
    </x:row>
    <x:row r="7" ht="15" hidden="0" customHeight="1">
      <x:c r="A7" s="11" t="str">
        <x:v>OP_SAL</x:v>
      </x:c>
      <x:c r="B7" s="11" t="str">
        <x:v>职工薪酬支付现金</x:v>
      </x:c>
      <x:c r="C7" s="13" t="n">
        <x:v>100000</x:v>
      </x:c>
    </x:row>
    <x:row r="8" ht="15" hidden="0" customHeight="1">
      <x:c r="A8" s="11" t="str">
        <x:v>OP_RENT</x:v>
      </x:c>
      <x:c r="B8" s="11" t="str">
        <x:v>租赁支付现金</x:v>
      </x:c>
      <x:c r="C8" s="13" t="n">
        <x:v>25000</x:v>
      </x:c>
    </x:row>
    <x:row r="9" ht="15" hidden="0" customHeight="1">
      <x:c r="A9" s="11" t="str">
        <x:v>OP_ADMIN</x:v>
      </x:c>
      <x:c r="B9" s="11" t="str">
        <x:v>其他经营支付现金</x:v>
      </x:c>
      <x:c r="C9" s="13" t="n">
        <x:v>15000</x:v>
      </x:c>
    </x:row>
    <x:row r="10" ht="15" hidden="0" customHeight="1">
      <x:c r="A10" s="11" t="str">
        <x:v>OP_TAX</x:v>
      </x:c>
      <x:c r="B10" s="11" t="str">
        <x:v>所得税支付现金</x:v>
      </x:c>
      <x:c r="C10" s="13" t="n">
        <x:v>30000</x:v>
      </x:c>
    </x:row>
    <x:row r="11" ht="15" hidden="0" customHeight="1">
      <x:c r="A11" s="11" t="str">
        <x:v>OP_NET</x:v>
      </x:c>
      <x:c r="B11" s="11" t="str">
        <x:v>经营活动现金流量净额</x:v>
      </x:c>
      <x:c r="C11" s="13" t="n">
        <x:f>C5-SUM(C6:C10)</x:f>
        <x:v>100000</x:v>
      </x:c>
    </x:row>
    <x:row r="12" ht="15" hidden="0" customHeight="1">
      <x:c r="A12" s="11" t="str">
        <x:v>CAPEX</x:v>
      </x:c>
      <x:c r="B12" s="11" t="str">
        <x:v>购建固定资产支付现金</x:v>
      </x:c>
      <x:c r="C12" s="13" t="n">
        <x:v>60000</x:v>
      </x:c>
    </x:row>
    <x:row r="13" ht="15" hidden="0" customHeight="1">
      <x:c r="A13" s="11" t="str">
        <x:v>DEBT_IN</x:v>
      </x:c>
      <x:c r="B13" s="11" t="str">
        <x:v>借款收到现金</x:v>
      </x:c>
      <x:c r="C13" s="13" t="n">
        <x:v>10000</x:v>
      </x:c>
    </x:row>
    <x:row r="14" ht="15" hidden="0" customHeight="1">
      <x:c r="A14" s="11" t="str">
        <x:v>DEBT_OUT</x:v>
      </x:c>
      <x:c r="B14" s="11" t="str">
        <x:v>偿还借款支付现金</x:v>
      </x:c>
      <x:c r="C14" s="13" t="n">
        <x:v>0</x:v>
      </x:c>
    </x:row>
    <x:row r="15" ht="15" hidden="0" customHeight="1">
      <x:c r="A15" s="11" t="str">
        <x:v>NET</x:v>
      </x:c>
      <x:c r="B15" s="11" t="str">
        <x:v>现金净增加额</x:v>
      </x:c>
      <x:c r="C15" s="13" t="n">
        <x:f>C11-C12+C13-C14</x:f>
        <x:v>50000</x:v>
      </x:c>
    </x:row>
    <x:row r="16" ht="15" hidden="0" customHeight="1">
      <x:c r="A16" s="11" t="str">
        <x:v>OPEN</x:v>
      </x:c>
      <x:c r="B16" s="11" t="str">
        <x:v>期初现金</x:v>
      </x:c>
      <x:c r="C16" s="13" t="n">
        <x:v>100000</x:v>
      </x:c>
    </x:row>
    <x:row r="17" ht="15" hidden="0" customHeight="1">
      <x:c r="A17" s="11" t="str">
        <x:v>CLOSE</x:v>
      </x:c>
      <x:c r="B17" s="11" t="str">
        <x:v>期末现金</x:v>
      </x:c>
      <x:c r="C17" s="13" t="n">
        <x:f>C15+C16</x:f>
        <x:v>150000</x:v>
      </x:c>
    </x:row>
  </x:sheetData>
  <x:pageMargins left="0.7" right="0.7" top="0.75" bottom="0.75" header="0.3" footer="0.3"/>
</x:worksheet>
</file>