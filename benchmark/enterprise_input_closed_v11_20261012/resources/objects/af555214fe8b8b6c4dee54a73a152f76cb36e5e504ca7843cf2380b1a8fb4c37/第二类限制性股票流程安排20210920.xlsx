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65e0c543644d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流程安排" sheetId="1" r:id="R11258909dc104c9f"/>
    <x:sheet xmlns:r="http://schemas.openxmlformats.org/officeDocument/2006/relationships" name="合成激励记录" sheetId="2" r:id="R297339b1e6284d32"/>
    <x:sheet xmlns:r="http://schemas.openxmlformats.org/officeDocument/2006/relationships" name="归属比例计划" sheetId="3" r:id="Rf4435a6cbdfd4cb1"/>
    <x:sheet xmlns:r="http://schemas.openxmlformats.org/officeDocument/2006/relationships" name="材料身份" sheetId="4" r:id="Ra5a596fec2c149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Microsoft YaHei"/>
    </x:font>
    <x:font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93B50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276db8ceae4a9c" /><Relationship Type="http://schemas.openxmlformats.org/officeDocument/2006/relationships/theme" Target="/xl/theme/theme1.xml" Id="Rfd5a3b266ece4f5a" /><Relationship Type="http://schemas.openxmlformats.org/officeDocument/2006/relationships/sharedStrings" Target="/xl/sharedStrings.xml" Id="R8e31768f68a94c62" /><Relationship Type="http://schemas.openxmlformats.org/officeDocument/2006/relationships/worksheet" Target="/xl/worksheets/sheet1.xml" Id="R11258909dc104c9f" /><Relationship Type="http://schemas.openxmlformats.org/officeDocument/2006/relationships/worksheet" Target="/xl/worksheets/sheet2.xml" Id="R297339b1e6284d32" /><Relationship Type="http://schemas.openxmlformats.org/officeDocument/2006/relationships/worksheet" Target="/xl/worksheets/sheet3.xml" Id="Rf4435a6cbdfd4cb1" /><Relationship Type="http://schemas.openxmlformats.org/officeDocument/2006/relationships/worksheet" Target="/xl/worksheets/sheet4.xml" Id="Ra5a596fec2c149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</x:cols>
  <x:sheetData>
    <x:row r="1" ht="55" customHeight="1">
      <x:c r="A1" s="5" t="str">
        <x:v>阶段</x:v>
      </x:c>
      <x:c r="B1" s="5" t="str">
        <x:v>责任角色</x:v>
      </x:c>
      <x:c r="C1" s="5" t="str">
        <x:v>原始需件</x:v>
      </x:c>
      <x:c r="D1" s="5" t="str">
        <x:v>前置阶段</x:v>
      </x:c>
      <x:c r="E1" s="5" t="str">
        <x:v>时间安排</x:v>
      </x:c>
      <x:c r="F1" s="5" t="str">
        <x:v>状态</x:v>
      </x:c>
    </x:row>
    <x:row r="2" ht="55" customHeight="1">
      <x:c r="A2" s="3" t="str">
        <x:v>董事会审议</x:v>
      </x:c>
      <x:c r="B2" s="3" t="str">
        <x:v>董事会与证券事务角色</x:v>
      </x:c>
      <x:c r="C2" s="3" t="str">
        <x:v>激励计划草案 原始议案</x:v>
      </x:c>
      <x:c r="D2" s="3" t="str">
        <x:v>材料收集</x:v>
      </x:c>
      <x:c r="E2" s="3" t="str">
        <x:v>具体日期待确认</x:v>
      </x:c>
      <x:c r="F2" s="3" t="str">
        <x:v>待确认</x:v>
      </x:c>
    </x:row>
    <x:row r="3" ht="55" customHeight="1">
      <x:c r="A3" s="3" t="str">
        <x:v>股东大会授权</x:v>
      </x:c>
      <x:c r="B3" s="3" t="str">
        <x:v>股东大会与证券事务角色</x:v>
      </x:c>
      <x:c r="C3" s="3" t="str">
        <x:v>审议文件 授权事项</x:v>
      </x:c>
      <x:c r="D3" s="3" t="str">
        <x:v>董事会审议</x:v>
      </x:c>
      <x:c r="E3" s="3" t="str">
        <x:v>具体日期待确认</x:v>
      </x:c>
      <x:c r="F3" s="3" t="str">
        <x:v>待确认</x:v>
      </x:c>
    </x:row>
    <x:row r="4" ht="55" customHeight="1">
      <x:c r="A4" s="3" t="str">
        <x:v>名单公示</x:v>
      </x:c>
      <x:c r="B4" s="3" t="str">
        <x:v>人力与监督角色</x:v>
      </x:c>
      <x:c r="C4" s="3" t="str">
        <x:v>对象名单 公示材料</x:v>
      </x:c>
      <x:c r="D4" s="3" t="str">
        <x:v>按原计划确认与审议的先后关系</x:v>
      </x:c>
      <x:c r="E4" s="3" t="str">
        <x:v>具体期间待确认</x:v>
      </x:c>
      <x:c r="F4" s="3" t="str">
        <x:v>待确认</x:v>
      </x:c>
    </x:row>
    <x:row r="5" ht="55" customHeight="1">
      <x:c r="A5" s="3" t="str">
        <x:v>授予决议</x:v>
      </x:c>
      <x:c r="B5" s="3" t="str">
        <x:v>董事会与人力角色</x:v>
      </x:c>
      <x:c r="C5" s="3" t="str">
        <x:v>授予条件核查 对象名单</x:v>
      </x:c>
      <x:c r="D5" s="3" t="str">
        <x:v>股东大会授权及名单核查</x:v>
      </x:c>
      <x:c r="E5" s="3" t="str">
        <x:v>具体日期待确认</x:v>
      </x:c>
      <x:c r="F5" s="3" t="str">
        <x:v>待确认</x:v>
      </x:c>
    </x:row>
    <x:row r="6" ht="55" customHeight="1">
      <x:c r="A6" s="3" t="str">
        <x:v>缴款确认</x:v>
      </x:c>
      <x:c r="B6" s="3" t="str">
        <x:v>财务与激励对象</x:v>
      </x:c>
      <x:c r="C6" s="3" t="str">
        <x:v>缴款通知 实际到账凭证</x:v>
      </x:c>
      <x:c r="D6" s="3" t="str">
        <x:v>按各期归属和原计划确认缴款时点</x:v>
      </x:c>
      <x:c r="E6" s="3" t="str">
        <x:v>金额与时点待确认</x:v>
      </x:c>
      <x:c r="F6" s="3" t="str">
        <x:v>未完成</x:v>
      </x:c>
    </x:row>
    <x:row r="7" ht="55" customHeight="1">
      <x:c r="A7" s="3" t="str">
        <x:v>登记确认</x:v>
      </x:c>
      <x:c r="B7" s="3" t="str">
        <x:v>证券事务与登记协作角色</x:v>
      </x:c>
      <x:c r="C7" s="3" t="str">
        <x:v>归属或授予申请 登记材料</x:v>
      </x:c>
      <x:c r="D7" s="3" t="str">
        <x:v>按具体激励类型和原方案确认登记时点</x:v>
      </x:c>
      <x:c r="E7" s="3" t="str">
        <x:v>具体日期待确认</x:v>
      </x:c>
      <x:c r="F7" s="3" t="str">
        <x:v>未完成</x:v>
      </x:c>
    </x:row>
    <x:row r="8" ht="55" customHeight="1">
      <x:c r="A8" s="3" t="str">
        <x:v>年度考核</x:v>
      </x:c>
      <x:c r="B8" s="3" t="str">
        <x:v>考核委员会 人力 财务</x:v>
      </x:c>
      <x:c r="C8" s="3" t="str">
        <x:v>公司指标 个人考核记录</x:v>
      </x:c>
      <x:c r="D8" s="3" t="str">
        <x:v>授予后相关考核期</x:v>
      </x:c>
      <x:c r="E8" s="3" t="str">
        <x:v>指标和考核期待确认</x:v>
      </x:c>
      <x:c r="F8" s="3" t="str">
        <x:v>未开展</x:v>
      </x:c>
    </x:row>
    <x:row r="9" ht="55" customHeight="1">
      <x:c r="A9" s="3" t="str">
        <x:v>第一期归属</x:v>
      </x:c>
      <x:c r="B9" s="3" t="str">
        <x:v>证券事务 财务 对象A</x:v>
      </x:c>
      <x:c r="C9" s="3" t="str">
        <x:v>第一期条件核查与归属申请</x:v>
      </x:c>
      <x:c r="D9" s="3" t="str">
        <x:v>对应年度考核</x:v>
      </x:c>
      <x:c r="E9" s="3" t="str">
        <x:v>实际窗口待确认</x:v>
      </x:c>
      <x:c r="F9" s="3" t="str">
        <x:v>未完成</x:v>
      </x:c>
    </x:row>
    <x:row r="10" ht="55" customHeight="1">
      <x:c r="A10" s="3" t="str">
        <x:v>第二期归属</x:v>
      </x:c>
      <x:c r="B10" s="3" t="str">
        <x:v>证券事务 财务 对象A</x:v>
      </x:c>
      <x:c r="C10" s="3" t="str">
        <x:v>第二期条件核查与归属申请</x:v>
      </x:c>
      <x:c r="D10" s="3" t="str">
        <x:v>对应年度考核</x:v>
      </x:c>
      <x:c r="E10" s="3" t="str">
        <x:v>实际窗口待确认</x:v>
      </x:c>
      <x:c r="F10" s="3" t="str">
        <x:v>未完成</x:v>
      </x:c>
    </x:row>
    <x:row r="11" ht="55" customHeight="1">
      <x:c r="A11" s="3" t="str">
        <x:v>第三期归属</x:v>
      </x:c>
      <x:c r="B11" s="3" t="str">
        <x:v>证券事务 财务 对象A</x:v>
      </x:c>
      <x:c r="C11" s="3" t="str">
        <x:v>第三期条件核查与归属申请</x:v>
      </x:c>
      <x:c r="D11" s="3" t="str">
        <x:v>对应年度考核</x:v>
      </x:c>
      <x:c r="E11" s="3" t="str">
        <x:v>实际窗口待确认</x:v>
      </x:c>
      <x:c r="F11" s="3" t="str">
        <x:v>未完成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</x:cols>
  <x:sheetData>
    <x:row r="1" ht="55" customHeight="1">
      <x:c r="A1" s="5" t="str">
        <x:v>公司实验名</x:v>
      </x:c>
      <x:c r="B1" s="5" t="str">
        <x:v>对象</x:v>
      </x:c>
      <x:c r="C1" s="5" t="str">
        <x:v>授予数量股</x:v>
      </x:c>
      <x:c r="D1" s="5" t="str">
        <x:v>每股价格元</x:v>
      </x:c>
      <x:c r="E1" s="5" t="str">
        <x:v>潜在总款元</x:v>
      </x:c>
      <x:c r="F1" s="5" t="str">
        <x:v>参与状态</x:v>
      </x:c>
      <x:c r="G1" s="5" t="str">
        <x:v>既有持股比例</x:v>
      </x:c>
    </x:row>
    <x:row r="2" ht="55" customHeight="1">
      <x:c r="A2" s="3" t="str">
        <x:v>西安瑞联新材料</x:v>
      </x:c>
      <x:c r="B2" s="3" t="str">
        <x:v>对象A</x:v>
      </x:c>
      <x:c r="C2" s="3" t="n">
        <x:v>20000</x:v>
      </x:c>
      <x:c r="D2" s="3" t="n">
        <x:v>10</x:v>
      </x:c>
      <x:c r="E2" s="3" t="n">
        <x:f>C2*D2</x:f>
        <x:v>200000</x:v>
      </x:c>
      <x:c r="F2" s="3" t="str">
        <x:v>拟参与</x:v>
      </x:c>
      <x:c r="G2" s="3" t="n">
        <x:v>0</x:v>
      </x:c>
    </x:row>
    <x:row r="3" ht="55" customHeight="1">
      <x:c r="A3" s="3" t="str">
        <x:v>西安瑞联新材料</x:v>
      </x:c>
      <x:c r="B3" s="3" t="str">
        <x:v>对象B</x:v>
      </x:c>
      <x:c r="C3" s="3" t="n">
        <x:v>0</x:v>
      </x:c>
      <x:c r="D3" s="3" t="n">
        <x:v>10</x:v>
      </x:c>
      <x:c r="E3" s="3" t="n">
        <x:f>C3*D3</x:f>
        <x:v>0</x:v>
      </x:c>
      <x:c r="F3" s="3" t="str">
        <x:v>放弃</x:v>
      </x:c>
      <x:c r="G3" s="3" t="n">
        <x:v>0</x:v>
      </x:c>
    </x:row>
    <x:row r="4" ht="55" customHeight="1">
      <x:c r="A4" s="3" t="str">
        <x:v>西安瑞联新材料</x:v>
      </x:c>
      <x:c r="B4" s="3" t="str">
        <x:v>对象C</x:v>
      </x:c>
      <x:c r="C4" s="3" t="n">
        <x:v>0</x:v>
      </x:c>
      <x:c r="D4" s="3" t="n">
        <x:v>10</x:v>
      </x:c>
      <x:c r="E4" s="3" t="n">
        <x:f>C4*D4</x:f>
        <x:v>0</x:v>
      </x:c>
      <x:c r="F4" s="3" t="str">
        <x:v>未参加</x:v>
      </x:c>
      <x:c r="G4" s="3" t="n">
        <x:v>0.06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</x:cols>
  <x:sheetData>
    <x:row r="1" ht="55" customHeight="1">
      <x:c r="A1" s="5" t="str">
        <x:v>对象</x:v>
      </x:c>
      <x:c r="B1" s="5" t="str">
        <x:v>期次</x:v>
      </x:c>
      <x:c r="C1" s="5" t="str">
        <x:v>比例</x:v>
      </x:c>
      <x:c r="D1" s="5" t="str">
        <x:v>计划股数</x:v>
      </x:c>
      <x:c r="E1" s="5" t="str">
        <x:v>潜在缴款元</x:v>
      </x:c>
      <x:c r="F1" s="5" t="str">
        <x:v>已实际归属股数</x:v>
      </x:c>
    </x:row>
    <x:row r="2" ht="55" customHeight="1">
      <x:c r="A2" s="3" t="str">
        <x:v>对象A</x:v>
      </x:c>
      <x:c r="B2" s="3" t="str">
        <x:v>第一期</x:v>
      </x:c>
      <x:c r="C2" s="3" t="n">
        <x:v>0.4</x:v>
      </x:c>
      <x:c r="D2" s="3" t="n">
        <x:f>'合成激励记录'!C2*C2</x:f>
        <x:v>8000</x:v>
      </x:c>
      <x:c r="E2" s="3" t="n">
        <x:f>D2*'合成激励记录'!D2</x:f>
        <x:v>80000</x:v>
      </x:c>
      <x:c r="F2" s="3" t="n">
        <x:v>0</x:v>
      </x:c>
    </x:row>
    <x:row r="3" ht="55" customHeight="1">
      <x:c r="A3" s="3" t="str">
        <x:v>对象A</x:v>
      </x:c>
      <x:c r="B3" s="3" t="str">
        <x:v>第二期</x:v>
      </x:c>
      <x:c r="C3" s="3" t="n">
        <x:v>0.3</x:v>
      </x:c>
      <x:c r="D3" s="3" t="n">
        <x:f>'合成激励记录'!C2*C3</x:f>
        <x:v>6000</x:v>
      </x:c>
      <x:c r="E3" s="3" t="n">
        <x:f>D3*'合成激励记录'!D2</x:f>
        <x:v>60000</x:v>
      </x:c>
      <x:c r="F3" s="3" t="n">
        <x:v>0</x:v>
      </x:c>
    </x:row>
    <x:row r="4" ht="55" customHeight="1">
      <x:c r="A4" s="3" t="str">
        <x:v>对象A</x:v>
      </x:c>
      <x:c r="B4" s="3" t="str">
        <x:v>第三期</x:v>
      </x:c>
      <x:c r="C4" s="3" t="n">
        <x:v>0.3</x:v>
      </x:c>
      <x:c r="D4" s="3" t="n">
        <x:f>'合成激励记录'!C2*C4</x:f>
        <x:v>6000</x:v>
      </x:c>
      <x:c r="E4" s="3" t="n">
        <x:f>D4*'合成激励记录'!D2</x:f>
        <x:v>60000</x:v>
      </x:c>
      <x:c r="F4" s="3" t="n">
        <x:v>0</x:v>
      </x:c>
    </x:row>
    <x:row r="5" ht="55" customHeight="1">
      <x:c r="A5" s="3" t="str">
        <x:v>合计</x:v>
      </x:c>
      <x:c r="B5" s="3" t="str">
        <x:v>三期合计</x:v>
      </x:c>
      <x:c r="C5" s="3" t="n">
        <x:f>SUM(C2:C4)</x:f>
        <x:v>1</x:v>
      </x:c>
      <x:c r="D5" s="3" t="n">
        <x:f>SUM(D2:D4)</x:f>
        <x:v>20000</x:v>
      </x:c>
      <x:c r="E5" s="3" t="n">
        <x:f>SUM(E2:E4)</x:f>
        <x:v>200000</x:v>
      </x:c>
      <x:c r="F5" s="3" t="n">
        <x:f>SUM(F2:F4)</x:f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0" hidden="0" customWidth="1"/>
  </x:cols>
  <x:sheetData>
    <x:row r="1" ht="62" customHeight="1">
      <x:c r="A1" s="5" t="str">
        <x:v>项目</x:v>
      </x:c>
      <x:c r="B1" s="5" t="str">
        <x:v>说明</x:v>
      </x:c>
    </x:row>
    <x:row r="2" ht="62" customHeight="1">
      <x:c r="A2" s="3" t="str">
        <x:v>身份</x:v>
      </x:c>
      <x:c r="B2" s="3" t="str">
        <x:v>原用户仅要求先学习，原真实流程表缺失；本文件为同源实验合成，不认证历史安排</x:v>
      </x:c>
    </x:row>
    <x:row r="3" ht="62" customHeight="1">
      <x:c r="A3" s="3" t="str">
        <x:v>同源一致性</x:v>
      </x:c>
      <x:c r="B3" s="3" t="str">
        <x:v>与同源33份修复文档统一：对象A20000股 每股10元；归属40% 30% 30%；B放弃；C既有6%且未参加</x:v>
      </x:c>
    </x:row>
    <x:row r="4" ht="62" customHeight="1">
      <x:c r="A4" s="3" t="str">
        <x:v>时点</x:v>
      </x:c>
      <x:c r="B4" s="3" t="str">
        <x:v>仅在原用户dispatch0文件出现时提供，不预写后续估值或管理办法审查答案</x:v>
      </x:c>
    </x:row>
    <x:row r="5" ht="62" customHeight="1">
      <x:c r="A5" s="3" t="str">
        <x:v>程序边界</x:v>
      </x:c>
      <x:c r="B5" s="3" t="str">
        <x:v>流程角色、需件、前置关系和日期待原计划及适用程序确认；并非真实法律合规流程认证</x:v>
      </x:c>
    </x:row>
    <x:row r="6" ht="62" customHeight="1">
      <x:c r="A6" s="3" t="str">
        <x:v>状态</x:v>
      </x:c>
      <x:c r="B6" s="3" t="str">
        <x:v>所有办理事项未完成或待确认；潜在缴款与归属计划不代表实际缴款、授予或归属</x:v>
      </x:c>
    </x:row>
  </x:sheetData>
  <x:pageMargins left="0.7" right="0.7" top="0.75" bottom="0.75" header="0.3" footer="0.3"/>
</x:worksheet>
</file>