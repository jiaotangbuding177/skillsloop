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c6fdef823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底稿" sheetId="1" r:id="R5e2cd16aed1f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11111"/>
      <x:name val="Microsoft YaHei"/>
    </x:font>
    <x:font>
      <x:b/>
      <x:sz val="16"/>
      <x:color rgb="FF111111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73B53"/>
      </x:patternFill>
    </x:fill>
    <x:fill>
      <x:patternFill patternType="solid">
        <x:fgColor rgb="FFFFF7DB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44f911cf14a84" /><Relationship Type="http://schemas.openxmlformats.org/officeDocument/2006/relationships/theme" Target="/xl/theme/theme1.xml" Id="R8712a53578fa496d" /><Relationship Type="http://schemas.openxmlformats.org/officeDocument/2006/relationships/sharedStrings" Target="/xl/sharedStrings.xml" Id="R610131f1dce74087" /><Relationship Type="http://schemas.openxmlformats.org/officeDocument/2006/relationships/worksheet" Target="/xl/worksheets/sheet1.xml" Id="R5e2cd16aed1f47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2026年9月21日 项目评分底稿 旧状态重建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实验重建输入  非原文件  未执行本会话后续调整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五维各用1至9且不并列；名次合计越小越优，同合计按匹配度名次排序。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4" customHeight="1">
      <x:c r="A6" s="6" t="str">
        <x:v>项目编号</x:v>
      </x:c>
      <x:c r="B6" s="6" t="str">
        <x:v>负责人</x:v>
      </x:c>
      <x:c r="C6" s="6" t="str">
        <x:v>项目名称</x:v>
      </x:c>
      <x:c r="D6" s="6" t="str">
        <x:v>匹配度（重建）</x:v>
      </x:c>
      <x:c r="E6" s="6" t="str">
        <x:v>校企（重建）</x:v>
      </x:c>
      <x:c r="F6" s="6" t="str">
        <x:v>人才（重建）</x:v>
      </x:c>
      <x:c r="G6" s="6" t="str">
        <x:v>目标（重建）</x:v>
      </x:c>
      <x:c r="H6" s="6" t="str">
        <x:v>基础（重建）</x:v>
      </x:c>
      <x:c r="I6" s="6" t="str">
        <x:v>名次合计</x:v>
      </x:c>
      <x:c r="J6" s="6" t="str">
        <x:v>推荐排序</x:v>
      </x:c>
      <x:c r="K6" s="6" t="str">
        <x:v>输入状态</x:v>
      </x:c>
    </x:row>
    <x:row r="7" ht="44" customHeight="1">
      <x:c r="A7" s="7" t="n">
        <x:v>1</x:v>
      </x:c>
      <x:c r="B7" s="7" t="str">
        <x:v>刘晔</x:v>
      </x:c>
      <x:c r="C7" s="7" t="str">
        <x:v>先进制程集成电路金属有机前驱体</x:v>
      </x:c>
      <x:c r="D7" s="10" t="n">
        <x:v>1</x:v>
      </x:c>
      <x:c r="E7" s="10" t="n">
        <x:v>2</x:v>
      </x:c>
      <x:c r="F7" s="10" t="n">
        <x:v>6</x:v>
      </x:c>
      <x:c r="G7" s="10" t="n">
        <x:v>5</x:v>
      </x:c>
      <x:c r="H7" s="10" t="n">
        <x:v>4</x:v>
      </x:c>
      <x:c r="I7" s="11" t="n">
        <x:f>SUM(D7:H7)</x:f>
        <x:v>18</x:v>
      </x:c>
      <x:c r="J7" s="11" t="n">
        <x:f>COUNTIFS($I$7:$I$15,"&lt;"&amp;I7)+COUNTIFS($I$7:$I$15,I7,$D$7:$D$15,"&lt;"&amp;D7)+1</x:f>
        <x:v>3</x:v>
      </x:c>
      <x:c r="K7" s="7" t="str">
        <x:v>历史描述重建旧值</x:v>
      </x:c>
    </x:row>
    <x:row r="8" ht="44" customHeight="1">
      <x:c r="A8" s="7" t="n">
        <x:v>2</x:v>
      </x:c>
      <x:c r="B8" s="7" t="str">
        <x:v>吕长虹</x:v>
      </x:c>
      <x:c r="C8" s="7" t="str">
        <x:v>K-12具身智能教育大模型与自主智能体</x:v>
      </x:c>
      <x:c r="D8" s="10" t="n">
        <x:v>4</x:v>
      </x:c>
      <x:c r="E8" s="10" t="n">
        <x:v>1</x:v>
      </x:c>
      <x:c r="F8" s="10" t="n">
        <x:v>1</x:v>
      </x:c>
      <x:c r="G8" s="10" t="n">
        <x:v>2</x:v>
      </x:c>
      <x:c r="H8" s="10" t="n">
        <x:v>6</x:v>
      </x:c>
      <x:c r="I8" s="11" t="n">
        <x:f>SUM(D8:H8)</x:f>
        <x:v>14</x:v>
      </x:c>
      <x:c r="J8" s="11" t="n">
        <x:f>COUNTIFS($I$7:$I$15,"&lt;"&amp;I8)+COUNTIFS($I$7:$I$15,I8,$D$7:$D$15,"&lt;"&amp;D8)+1</x:f>
        <x:v>2</x:v>
      </x:c>
      <x:c r="K8" s="7" t="str">
        <x:v>历史描述重建旧值</x:v>
      </x:c>
    </x:row>
    <x:row r="9" ht="44" customHeight="1">
      <x:c r="A9" s="7" t="n">
        <x:v>3</x:v>
      </x:c>
      <x:c r="B9" s="7" t="str">
        <x:v>张美玲</x:v>
      </x:c>
      <x:c r="C9" s="7" t="str">
        <x:v>植物乳杆菌后生元</x:v>
      </x:c>
      <x:c r="D9" s="10" t="n">
        <x:v>9</x:v>
      </x:c>
      <x:c r="E9" s="10" t="n">
        <x:v>7</x:v>
      </x:c>
      <x:c r="F9" s="10" t="n">
        <x:v>8</x:v>
      </x:c>
      <x:c r="G9" s="10" t="n">
        <x:v>8</x:v>
      </x:c>
      <x:c r="H9" s="10" t="n">
        <x:v>1</x:v>
      </x:c>
      <x:c r="I9" s="11" t="n">
        <x:f>SUM(D9:H9)</x:f>
        <x:v>33</x:v>
      </x:c>
      <x:c r="J9" s="11" t="n">
        <x:f>COUNTIFS($I$7:$I$15,"&lt;"&amp;I9)+COUNTIFS($I$7:$I$15,I9,$D$7:$D$15,"&lt;"&amp;D9)+1</x:f>
        <x:v>7</x:v>
      </x:c>
      <x:c r="K9" s="7" t="str">
        <x:v>历史描述重建旧值</x:v>
      </x:c>
    </x:row>
    <x:row r="10" ht="44" customHeight="1">
      <x:c r="A10" s="7" t="n">
        <x:v>4</x:v>
      </x:c>
      <x:c r="B10" s="7" t="str">
        <x:v>吴光</x:v>
      </x:c>
      <x:c r="C10" s="7" t="str">
        <x:v>极端环境高精度激光三维测量</x:v>
      </x:c>
      <x:c r="D10" s="10" t="n">
        <x:v>6</x:v>
      </x:c>
      <x:c r="E10" s="10" t="n">
        <x:v>3</x:v>
      </x:c>
      <x:c r="F10" s="10" t="n">
        <x:v>3</x:v>
      </x:c>
      <x:c r="G10" s="10" t="n">
        <x:v>3</x:v>
      </x:c>
      <x:c r="H10" s="10" t="n">
        <x:v>3</x:v>
      </x:c>
      <x:c r="I10" s="11" t="n">
        <x:f>SUM(D10:H10)</x:f>
        <x:v>18</x:v>
      </x:c>
      <x:c r="J10" s="11" t="n">
        <x:f>COUNTIFS($I$7:$I$15,"&lt;"&amp;I10)+COUNTIFS($I$7:$I$15,I10,$D$7:$D$15,"&lt;"&amp;D10)+1</x:f>
        <x:v>4</x:v>
      </x:c>
      <x:c r="K10" s="7" t="str">
        <x:v>历史描述重建旧值</x:v>
      </x:c>
    </x:row>
    <x:row r="11" ht="44" customHeight="1">
      <x:c r="A11" s="7" t="n">
        <x:v>5</x:v>
      </x:c>
      <x:c r="B11" s="7" t="str">
        <x:v>谭鑫</x:v>
      </x:c>
      <x:c r="C11" s="7" t="str">
        <x:v>面向复杂场景的具身智能</x:v>
      </x:c>
      <x:c r="D11" s="10" t="n">
        <x:v>3</x:v>
      </x:c>
      <x:c r="E11" s="10" t="n">
        <x:v>4</x:v>
      </x:c>
      <x:c r="F11" s="10" t="n">
        <x:v>4</x:v>
      </x:c>
      <x:c r="G11" s="10" t="n">
        <x:v>6</x:v>
      </x:c>
      <x:c r="H11" s="10" t="n">
        <x:v>7</x:v>
      </x:c>
      <x:c r="I11" s="11" t="n">
        <x:f>SUM(D11:H11)</x:f>
        <x:v>24</x:v>
      </x:c>
      <x:c r="J11" s="11" t="n">
        <x:f>COUNTIFS($I$7:$I$15,"&lt;"&amp;I11)+COUNTIFS($I$7:$I$15,I11,$D$7:$D$15,"&lt;"&amp;D11)+1</x:f>
        <x:v>5</x:v>
      </x:c>
      <x:c r="K11" s="7" t="str">
        <x:v>历史描述重建旧值</x:v>
      </x:c>
    </x:row>
    <x:row r="12" ht="44" customHeight="1">
      <x:c r="A12" s="7" t="n">
        <x:v>6</x:v>
      </x:c>
      <x:c r="B12" s="7" t="str">
        <x:v>熊红凯</x:v>
      </x:c>
      <x:c r="C12" s="7" t="str">
        <x:v>6G空天地感知 通信 计算一体化</x:v>
      </x:c>
      <x:c r="D12" s="10" t="n">
        <x:v>2</x:v>
      </x:c>
      <x:c r="E12" s="10" t="n">
        <x:v>6</x:v>
      </x:c>
      <x:c r="F12" s="10" t="n">
        <x:v>2</x:v>
      </x:c>
      <x:c r="G12" s="10" t="n">
        <x:v>1</x:v>
      </x:c>
      <x:c r="H12" s="10" t="n">
        <x:v>2</x:v>
      </x:c>
      <x:c r="I12" s="11" t="n">
        <x:f>SUM(D12:H12)</x:f>
        <x:v>13</x:v>
      </x:c>
      <x:c r="J12" s="11" t="n">
        <x:f>COUNTIFS($I$7:$I$15,"&lt;"&amp;I12)+COUNTIFS($I$7:$I$15,I12,$D$7:$D$15,"&lt;"&amp;D12)+1</x:f>
        <x:v>1</x:v>
      </x:c>
      <x:c r="K12" s="7" t="str">
        <x:v>历史描述重建旧值</x:v>
      </x:c>
    </x:row>
    <x:row r="13" ht="44" customHeight="1">
      <x:c r="A13" s="7" t="n">
        <x:v>7</x:v>
      </x:c>
      <x:c r="B13" s="7" t="str">
        <x:v>谭琨</x:v>
      </x:c>
      <x:c r="C13" s="7" t="str">
        <x:v>低空智能遥感决策中枢</x:v>
      </x:c>
      <x:c r="D13" s="10" t="n">
        <x:v>5</x:v>
      </x:c>
      <x:c r="E13" s="10" t="n">
        <x:v>9</x:v>
      </x:c>
      <x:c r="F13" s="10" t="n">
        <x:v>9</x:v>
      </x:c>
      <x:c r="G13" s="10" t="n">
        <x:v>9</x:v>
      </x:c>
      <x:c r="H13" s="10" t="n">
        <x:v>9</x:v>
      </x:c>
      <x:c r="I13" s="11" t="n">
        <x:f>SUM(D13:H13)</x:f>
        <x:v>41</x:v>
      </x:c>
      <x:c r="J13" s="11" t="n">
        <x:f>COUNTIFS($I$7:$I$15,"&lt;"&amp;I13)+COUNTIFS($I$7:$I$15,I13,$D$7:$D$15,"&lt;"&amp;D13)+1</x:f>
        <x:v>9</x:v>
      </x:c>
      <x:c r="K13" s="7" t="str">
        <x:v>历史描述重建旧值</x:v>
      </x:c>
    </x:row>
    <x:row r="14" ht="44" customHeight="1">
      <x:c r="A14" s="7" t="n">
        <x:v>8</x:v>
      </x:c>
      <x:c r="B14" s="7" t="str">
        <x:v>陆雪琴</x:v>
      </x:c>
      <x:c r="C14" s="7" t="str">
        <x:v>渗滤液浓缩液生物脱氮除硫</x:v>
      </x:c>
      <x:c r="D14" s="10" t="n">
        <x:v>8</x:v>
      </x:c>
      <x:c r="E14" s="10" t="n">
        <x:v>8</x:v>
      </x:c>
      <x:c r="F14" s="10" t="n">
        <x:v>7</x:v>
      </x:c>
      <x:c r="G14" s="10" t="n">
        <x:v>7</x:v>
      </x:c>
      <x:c r="H14" s="10" t="n">
        <x:v>8</x:v>
      </x:c>
      <x:c r="I14" s="11" t="n">
        <x:f>SUM(D14:H14)</x:f>
        <x:v>38</x:v>
      </x:c>
      <x:c r="J14" s="11" t="n">
        <x:f>COUNTIFS($I$7:$I$15,"&lt;"&amp;I14)+COUNTIFS($I$7:$I$15,I14,$D$7:$D$15,"&lt;"&amp;D14)+1</x:f>
        <x:v>8</x:v>
      </x:c>
      <x:c r="K14" s="7" t="str">
        <x:v>历史描述重建旧值</x:v>
      </x:c>
    </x:row>
    <x:row r="15" ht="44" customHeight="1">
      <x:c r="A15" s="7" t="n">
        <x:v>9</x:v>
      </x:c>
      <x:c r="B15" s="7" t="str">
        <x:v>蒯曙光</x:v>
      </x:c>
      <x:c r="C15" s="7" t="str">
        <x:v>飞行员人因仿真验证平台</x:v>
      </x:c>
      <x:c r="D15" s="10" t="n">
        <x:v>7</x:v>
      </x:c>
      <x:c r="E15" s="10" t="n">
        <x:v>5</x:v>
      </x:c>
      <x:c r="F15" s="10" t="n">
        <x:v>5</x:v>
      </x:c>
      <x:c r="G15" s="10" t="n">
        <x:v>4</x:v>
      </x:c>
      <x:c r="H15" s="10" t="n">
        <x:v>5</x:v>
      </x:c>
      <x:c r="I15" s="11" t="n">
        <x:f>SUM(D15:H15)</x:f>
        <x:v>26</x:v>
      </x:c>
      <x:c r="J15" s="11" t="n">
        <x:f>COUNTIFS($I$7:$I$15,"&lt;"&amp;I15)+COUNTIFS($I$7:$I$15,I15,$D$7:$D$15,"&lt;"&amp;D15)+1</x:f>
        <x:v>6</x:v>
      </x:c>
      <x:c r="K15" s="7" t="str">
        <x:v>历史描述重建旧值</x:v>
      </x:c>
    </x:row>
    <x:row r="16">
      <x:c r="A16" s="2"/>
      <x:c r="B16" s="2"/>
      <x:c r="C16" s="2"/>
      <x:c r="D16" s="12"/>
      <x:c r="E16" s="12"/>
      <x:c r="F16" s="12"/>
      <x:c r="G16" s="12"/>
      <x:c r="H16" s="12"/>
      <x:c r="I16" s="12"/>
      <x:c r="J16" s="12"/>
      <x:c r="K16" s="2"/>
    </x:row>
    <x:row r="17">
      <x:c r="A17" s="2" t="str">
        <x:v>名次列合计</x:v>
      </x:c>
      <x:c r="B17" s="2"/>
      <x:c r="C17" s="2"/>
      <x:c r="D17" s="12" t="n">
        <x:f>SUM(D7:D15)</x:f>
        <x:v>45</x:v>
      </x:c>
      <x:c r="E17" s="12" t="n">
        <x:f>SUM(E7:E15)</x:f>
        <x:v>45</x:v>
      </x:c>
      <x:c r="F17" s="12" t="n">
        <x:f>SUM(F7:F15)</x:f>
        <x:v>45</x:v>
      </x:c>
      <x:c r="G17" s="12" t="n">
        <x:f>SUM(G7:G15)</x:f>
        <x:v>45</x:v>
      </x:c>
      <x:c r="H17" s="12" t="n">
        <x:f>SUM(H7:H15)</x:f>
        <x:v>45</x:v>
      </x:c>
      <x:c r="I17" s="12" t="n">
        <x:f>SUM(I7:I15)</x:f>
        <x:v>225</x:v>
      </x:c>
      <x:c r="J17" s="1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 t="str">
        <x:v>原描述来源：先前会话评分制V2矩阵；所有维度值均为重建输入，非真实评审金标。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 t="str">
        <x:v>此文件只给当前评分任务提供旧表。后续变更由本次用户输入和本次产物驱动。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dataValidations count="1">
    <x:dataValidation type="whole" operator="between" sqref="D7:H15">
      <x:formula1>1</x:formula1>
      <x:formula2>9</x:formula2>
    </x:dataValidation>
  </x:dataValidations>
  <x:pageMargins left="0.7" right="0.7" top="0.75" bottom="0.75" header="0.3" footer="0.3"/>
</x:worksheet>
</file>